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5a57ba71521d2e/Documents/GitHub/TRBLSummarizer/TRBLSummarizer/"/>
    </mc:Choice>
  </mc:AlternateContent>
  <xr:revisionPtr revIDLastSave="33" documentId="8_{C29A6D29-BB65-448A-BEBE-52C34B6A8154}" xr6:coauthVersionLast="47" xr6:coauthVersionMax="47" xr10:uidLastSave="{EDBF50B3-DC75-43A0-936B-B1C1A4993FC6}"/>
  <bookViews>
    <workbookView xWindow="-98" yWindow="-98" windowWidth="21795" windowHeight="13875" activeTab="1" xr2:uid="{32E2AFCE-6B45-487C-8745-FF8D594C581A}"/>
  </bookViews>
  <sheets>
    <sheet name="nestling-to-female-ratios" sheetId="1" r:id="rId1"/>
    <sheet name="Sheet1" sheetId="2" r:id="rId2"/>
  </sheets>
  <definedNames>
    <definedName name="_xlnm._FilterDatabase" localSheetId="0" hidden="1">'nestling-to-female-ratios'!$A$1:$P$195</definedName>
  </definedNames>
  <calcPr calcId="0"/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2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</calcChain>
</file>

<file path=xl/sharedStrings.xml><?xml version="1.0" encoding="utf-8"?>
<sst xmlns="http://schemas.openxmlformats.org/spreadsheetml/2006/main" count="1579" uniqueCount="424">
  <si>
    <t>Site Name</t>
  </si>
  <si>
    <t>Pulse Name</t>
  </si>
  <si>
    <t>Outcome</t>
  </si>
  <si>
    <t>Hatch Date</t>
  </si>
  <si>
    <t>Earliest Rec</t>
  </si>
  <si>
    <t>Incubation Days</t>
  </si>
  <si>
    <t>Total Female Calls</t>
  </si>
  <si>
    <t>Avg Female Calls/Day</t>
  </si>
  <si>
    <t>Latest Rec</t>
  </si>
  <si>
    <t>Nestling Days</t>
  </si>
  <si>
    <t>Total Nestling Calls</t>
  </si>
  <si>
    <t>Avg Nestling Calls/Day</t>
  </si>
  <si>
    <t>Ratio</t>
  </si>
  <si>
    <t>Substrate</t>
  </si>
  <si>
    <t>Approx Size</t>
  </si>
  <si>
    <t>2017 Rush Ranch</t>
  </si>
  <si>
    <t>2017 Rush Ranch p1</t>
  </si>
  <si>
    <t>Abandoned</t>
  </si>
  <si>
    <t>2017 Rush Ranch p2</t>
  </si>
  <si>
    <t>Successful</t>
  </si>
  <si>
    <t>2017 Rush Ranch p3</t>
  </si>
  <si>
    <t>2018 Iron Point</t>
  </si>
  <si>
    <t>2018 Iron Point p1</t>
  </si>
  <si>
    <t>No Colony</t>
  </si>
  <si>
    <t>NHD</t>
  </si>
  <si>
    <t>n/a</t>
  </si>
  <si>
    <t>Himalayan blackberry, willow</t>
  </si>
  <si>
    <t>2018 Markham Ravine Main</t>
  </si>
  <si>
    <t>2018 Markham Ravine p1</t>
  </si>
  <si>
    <t>Himalayan blackberry</t>
  </si>
  <si>
    <t>2018 Markham Ravine westside</t>
  </si>
  <si>
    <t>2018 Markham Ravine - West p1</t>
  </si>
  <si>
    <t>pre</t>
  </si>
  <si>
    <t>2018 Red Wing Ranch</t>
  </si>
  <si>
    <t>2018 Red Wing Ranch p1</t>
  </si>
  <si>
    <t>2018 Rush Ranch</t>
  </si>
  <si>
    <t>2018 Rush Ranch p1</t>
  </si>
  <si>
    <t>2018 SJWA WSS</t>
  </si>
  <si>
    <t>2018 SJWA Little Ramona p1</t>
  </si>
  <si>
    <t>2018 SJWA-rose-2</t>
  </si>
  <si>
    <t>2018 San Jacinto Wildlife Area - Bridge St. Pond p1</t>
  </si>
  <si>
    <t>Bulrush, cattails</t>
  </si>
  <si>
    <t>2019 Colusa NWR 27-1</t>
  </si>
  <si>
    <t>2019 Colusa NWR T27.1 p1</t>
  </si>
  <si>
    <t>2019 Colusa NWR 27-2</t>
  </si>
  <si>
    <t>2019 Colusa NWR T27.2 p1</t>
  </si>
  <si>
    <t>Partially Abandoned</t>
  </si>
  <si>
    <t>2019 Creed Road</t>
  </si>
  <si>
    <t>2019 Denverton Creek p1</t>
  </si>
  <si>
    <t>2019 Denverton Creek p2</t>
  </si>
  <si>
    <t>2019 Hay Landfill</t>
  </si>
  <si>
    <t>2019 Hay Landfill p1</t>
  </si>
  <si>
    <t>2019 Hay Landfill p2</t>
  </si>
  <si>
    <t>2019 Iron Point</t>
  </si>
  <si>
    <t>2019 Iron Point p1</t>
  </si>
  <si>
    <t>2019 Leisure Town</t>
  </si>
  <si>
    <t>2019 Leisure Town Road p1</t>
  </si>
  <si>
    <t>2019 Leisure Town Road p2</t>
  </si>
  <si>
    <t>2019 Markham Ravine</t>
  </si>
  <si>
    <t>2019 Markham Ravine p1</t>
  </si>
  <si>
    <t>2019 Markham Ravine 2</t>
  </si>
  <si>
    <t>2019 Markham Ravine 2 p1</t>
  </si>
  <si>
    <t>2019 Rush Ranch</t>
  </si>
  <si>
    <t>2019 Rush Ranch p1</t>
  </si>
  <si>
    <t>2020 Conaway Ranch</t>
  </si>
  <si>
    <t>2020 Conaway Ranch p1</t>
  </si>
  <si>
    <t>2020 Creed Road</t>
  </si>
  <si>
    <t>2020 Denverton Creek p1</t>
  </si>
  <si>
    <t>2020 Fort Ord</t>
  </si>
  <si>
    <t>2020 Fort Ord p1</t>
  </si>
  <si>
    <t>2020 Hay Landfill</t>
  </si>
  <si>
    <t>2020 Hay Landfill p1</t>
  </si>
  <si>
    <t>2020 Hay Landfill p2</t>
  </si>
  <si>
    <t>2020 Iron Point</t>
  </si>
  <si>
    <t>2020 Iron Point p1</t>
  </si>
  <si>
    <t>2020 Markham Ravine</t>
  </si>
  <si>
    <t>2020 Markham Ravine p1</t>
  </si>
  <si>
    <t>2020 Ohlone - Santa Lucia Preserve</t>
  </si>
  <si>
    <t>2020 Santa Lucia Preserve - Ohlone Pond p1</t>
  </si>
  <si>
    <t>2020 Rush Ranch</t>
  </si>
  <si>
    <t>2020 Rush Ranch p1</t>
  </si>
  <si>
    <t>2021 Colusa NWR 27-1</t>
  </si>
  <si>
    <t>2021 Colusa NWR T27.1 p1</t>
  </si>
  <si>
    <t>2021 Colusa NWR 27-2</t>
  </si>
  <si>
    <t>2021 Colusa NWR T27.2 p1</t>
  </si>
  <si>
    <t>Unknown</t>
  </si>
  <si>
    <t>2021 Conaway South</t>
  </si>
  <si>
    <t>2021 Conaway South p1</t>
  </si>
  <si>
    <t>2021 Creed Road</t>
  </si>
  <si>
    <t>2021 Denverton Creek p1</t>
  </si>
  <si>
    <t>2021 Dagnino Pond</t>
  </si>
  <si>
    <t>2021 Dagnino Pond p1</t>
  </si>
  <si>
    <t>Bulrush, cattails, Mustard</t>
  </si>
  <si>
    <t>2021 Foley Ranch</t>
  </si>
  <si>
    <t>2021 Foley Ranch p1</t>
  </si>
  <si>
    <t>2021 Foley Ranch p2</t>
  </si>
  <si>
    <t>2021 Hale Road 2</t>
  </si>
  <si>
    <t>2021 Hale Road 2 p1</t>
  </si>
  <si>
    <t>2021 Hay Landfill</t>
  </si>
  <si>
    <t>2021 Hay Landfill p1</t>
  </si>
  <si>
    <t>2021 Iron Point</t>
  </si>
  <si>
    <t>2021 Iron Point p1</t>
  </si>
  <si>
    <t>2021 Kern 1</t>
  </si>
  <si>
    <t>2021 Kern 1 p1</t>
  </si>
  <si>
    <t>2021 Kern 2</t>
  </si>
  <si>
    <t>2021 Kern 2 p1</t>
  </si>
  <si>
    <t>Cattails</t>
  </si>
  <si>
    <t>2021 Kern 3</t>
  </si>
  <si>
    <t>2021 Kern 3 p1</t>
  </si>
  <si>
    <t>Bulrush</t>
  </si>
  <si>
    <t>2021 Kern 4</t>
  </si>
  <si>
    <t>2021 Kern 4 p1</t>
  </si>
  <si>
    <t>2021 Kern 5</t>
  </si>
  <si>
    <t>2021 Kern 5 p1</t>
  </si>
  <si>
    <t>2021 Kern 5 p2</t>
  </si>
  <si>
    <t>NEED</t>
  </si>
  <si>
    <t>2021 Kern 6</t>
  </si>
  <si>
    <t>2021 Kern 6 p1</t>
  </si>
  <si>
    <t>No Birds</t>
  </si>
  <si>
    <t>2021 Kern 7</t>
  </si>
  <si>
    <t>2021 Kern 7 p1</t>
  </si>
  <si>
    <t>2021 Markham Ravine</t>
  </si>
  <si>
    <t>2021 Markham Ravine p1</t>
  </si>
  <si>
    <t>2021 Orchard Creek</t>
  </si>
  <si>
    <t>2021 Orchard Creek p1</t>
  </si>
  <si>
    <t>2021 Orchard Creek p2</t>
  </si>
  <si>
    <t>2021 Panoche Creek Preserve 1W</t>
  </si>
  <si>
    <t>2021 Panoche Creek Marsh East 1 p1</t>
  </si>
  <si>
    <t>2021 Panoche Creek Preserve 2E</t>
  </si>
  <si>
    <t>2021 Panoche Creek Marsh East 2 p1</t>
  </si>
  <si>
    <t>2021 Plumas Arboga</t>
  </si>
  <si>
    <t>2021 Plumas Arboga p1</t>
  </si>
  <si>
    <t>2021 Rancho Jamul</t>
  </si>
  <si>
    <t>2021 Rancho Jamul p1</t>
  </si>
  <si>
    <t>Cattails, bulrush or tule</t>
  </si>
  <si>
    <t>2021 Reeds Creek North</t>
  </si>
  <si>
    <t>2021 Erle Road-Reeds Creek North p1</t>
  </si>
  <si>
    <t>Himalayan blackberry, lettuce</t>
  </si>
  <si>
    <t>2021 Reeds Creek South</t>
  </si>
  <si>
    <t>2021 Erle Road-Reeds Creek South p1</t>
  </si>
  <si>
    <t>2021 Rodeo Grounds 1</t>
  </si>
  <si>
    <t>2021 Rodeo Grounds p1</t>
  </si>
  <si>
    <t>2021 Rush Ranch</t>
  </si>
  <si>
    <t>2021 Rush Ranch p1</t>
  </si>
  <si>
    <t>2021 Sedgwick</t>
  </si>
  <si>
    <t>2021 Sedgwick Reserve p1</t>
  </si>
  <si>
    <t>2021 SJWA</t>
  </si>
  <si>
    <t>2021 San Jacinto Wildlife Area - Bridge Street Pond p1</t>
  </si>
  <si>
    <t>2021 Willey Wetlands 2</t>
  </si>
  <si>
    <t>2021 Willey Wetlands 2 p1</t>
  </si>
  <si>
    <t>2021 Wind Wolves Preserve</t>
  </si>
  <si>
    <t>2021 Wind Wolves Preserve p1</t>
  </si>
  <si>
    <t>2022 Baja 1</t>
  </si>
  <si>
    <t>2022 Baja CiÃ©nega Redonda North p1</t>
  </si>
  <si>
    <t>2022 Colusa NWR T27.1</t>
  </si>
  <si>
    <t>2022 Colusa NWR T27.1 p1</t>
  </si>
  <si>
    <t>2022 Colusa NWR T27.2</t>
  </si>
  <si>
    <t>2022 Colusa NWR T27.2 p1</t>
  </si>
  <si>
    <t>2022 Conaway East</t>
  </si>
  <si>
    <t>2022 Conaway Ranch Reservoir p1</t>
  </si>
  <si>
    <t>2022 Conaway New Easement Pond West</t>
  </si>
  <si>
    <t>2022 Conaway New Easement Pond West p1</t>
  </si>
  <si>
    <t>Cattails with bulrush</t>
  </si>
  <si>
    <t>2022 Conaway North</t>
  </si>
  <si>
    <t>2022 Conaway North p1</t>
  </si>
  <si>
    <t>2022 Creed Road</t>
  </si>
  <si>
    <t>2022 Denverton Creek p1</t>
  </si>
  <si>
    <t>2022 Foley Ranch A</t>
  </si>
  <si>
    <t>2022 Foley Ranch A p1</t>
  </si>
  <si>
    <t>2022 Hay Landfill</t>
  </si>
  <si>
    <t>2022 Hay Landfill p1</t>
  </si>
  <si>
    <t>2022 Hay Landfill p2</t>
  </si>
  <si>
    <t>2022 Laguna Seca</t>
  </si>
  <si>
    <t>2022 Laguna Seca p1</t>
  </si>
  <si>
    <t>2022 Laguna Seca p2</t>
  </si>
  <si>
    <t>2022 Los Vaqueros Reservoir</t>
  </si>
  <si>
    <t>2022 Los Vaqueros Reservoir p1</t>
  </si>
  <si>
    <t>2022 Marsh Creek Reservoir</t>
  </si>
  <si>
    <t>2022 Marsh Creek Reservoir p1</t>
  </si>
  <si>
    <t>2022 Newberry Springs - Lake Wainani</t>
  </si>
  <si>
    <t>2022 Newberry Springs - Lake Wainani p1</t>
  </si>
  <si>
    <t>Cattails, willows</t>
  </si>
  <si>
    <t>2022 Ohlone - Santa Lucia Preserve</t>
  </si>
  <si>
    <t>2022 Santa Lucia Preserve - Ohlone Pond p1</t>
  </si>
  <si>
    <t>2022 OR1</t>
  </si>
  <si>
    <t>2022 Oregon State - Dizney Rd p1</t>
  </si>
  <si>
    <t>Bulrush, cattails, Himalayan blackberry</t>
  </si>
  <si>
    <t>2022 OR2</t>
  </si>
  <si>
    <t>2022 Oregon State - Prineville Woodward Rd p1</t>
  </si>
  <si>
    <t>2022 Paicines Ranch - Teal Pond</t>
  </si>
  <si>
    <t>2022 Paicines Ranch - Teal Pond p1</t>
  </si>
  <si>
    <t>2022 Panoche Creek Preserve Loc3</t>
  </si>
  <si>
    <t>2022 Panoche Creek Preserve Location 3 p1</t>
  </si>
  <si>
    <t>2022 Panoche Creek Preserve Loc4</t>
  </si>
  <si>
    <t>2022 Panoche Creek Marsh East 1 p1</t>
  </si>
  <si>
    <t>2022 Panoche Creek Preserve Loc5</t>
  </si>
  <si>
    <t>2022 Panoche Creek Marsh East 2 p1</t>
  </si>
  <si>
    <t>2022 Plumas Arboga East</t>
  </si>
  <si>
    <t>2022 Plumas Arboga 6 East p1</t>
  </si>
  <si>
    <t>2022 Plumas Arboga 6 East p2</t>
  </si>
  <si>
    <t>2022 Private Site 1 - not real lat lon</t>
  </si>
  <si>
    <t>2022 Private Site 1 - approximate lat lon p1</t>
  </si>
  <si>
    <t>2022 Private Site 2 - not real lat lon</t>
  </si>
  <si>
    <t>2022 Private Site 2 - approximate lat lon p1</t>
  </si>
  <si>
    <t>Triticale</t>
  </si>
  <si>
    <t>2022 Private Site 3 - not real lat lon</t>
  </si>
  <si>
    <t>2022 Private Site 3 - approximate lat lon p1</t>
  </si>
  <si>
    <t>Milk thistle</t>
  </si>
  <si>
    <t>2022 Rancho Jamul</t>
  </si>
  <si>
    <t>2022 Rancho Jamul p1</t>
  </si>
  <si>
    <t>2022 Sedgwick</t>
  </si>
  <si>
    <t>2022 Sedgwick Reserve p1</t>
  </si>
  <si>
    <t>2022 Sedgwick Reserve p2</t>
  </si>
  <si>
    <t>2022 SJWA</t>
  </si>
  <si>
    <t>2022 San Jacinto Wildlife Area - Bridge Street Pond p1</t>
  </si>
  <si>
    <t>2022 WA Harder Spring</t>
  </si>
  <si>
    <t>2022 Washington State - Harder Spring p1</t>
  </si>
  <si>
    <t>2022 Washington State - Harder Spring p2</t>
  </si>
  <si>
    <t>2022 WA1</t>
  </si>
  <si>
    <t>2022 Washington State - McCain Wetands p1</t>
  </si>
  <si>
    <t>Bulrush, cattails, common reed</t>
  </si>
  <si>
    <t>150-200</t>
  </si>
  <si>
    <t>2022 Wind Wolves Preserve Pleitito Creek</t>
  </si>
  <si>
    <t>2022 Wind Wolves Preserve - Pleitito Creek p1</t>
  </si>
  <si>
    <t>Stinging nettle</t>
  </si>
  <si>
    <t>2022 Wind Wolves Preserve Santiago Wetlands</t>
  </si>
  <si>
    <t>2022 Wind Wolves Preserve - Santiago Wetlands p1</t>
  </si>
  <si>
    <t>2023 Baja Rancho Cinega</t>
  </si>
  <si>
    <t>2023 Baja CiÃ©nega Redonda North p1</t>
  </si>
  <si>
    <t>100-200</t>
  </si>
  <si>
    <t>2023 Baja CiÃ©nega Redonda North p2</t>
  </si>
  <si>
    <t>2023 Baja CiÃ©nega Redonda North p3</t>
  </si>
  <si>
    <t>2023 Baja CiÃ©nega Redonda North p4</t>
  </si>
  <si>
    <t>2023 Bridge St Pond</t>
  </si>
  <si>
    <t>2023 San Jacinto Wildlife Area - Bridge St. Pond p1</t>
  </si>
  <si>
    <t>2023 Colusa NWR T27.1</t>
  </si>
  <si>
    <t>2023 Colusa NWR T27.1 p1</t>
  </si>
  <si>
    <t>2023 Colusa NWR T27.2</t>
  </si>
  <si>
    <t>2023 Colusa NWR T27.2 p1</t>
  </si>
  <si>
    <t>2023 Conaway Ranch - HQ</t>
  </si>
  <si>
    <t>2023 Conaway Ranch Headquarters p1</t>
  </si>
  <si>
    <t>2023 Conaway Ranch NE</t>
  </si>
  <si>
    <t>2023 Conaway Ranch NE p1</t>
  </si>
  <si>
    <t>2023 Conaway Ranch North 1</t>
  </si>
  <si>
    <t>2023 Conaway Ranch North 1 p1</t>
  </si>
  <si>
    <t>2023 Conaway Ranch North 2</t>
  </si>
  <si>
    <t>2023 Conaway Ranch North 2 p1</t>
  </si>
  <si>
    <t>2023 Creed Rd</t>
  </si>
  <si>
    <t>2023 Denverton Creek p1</t>
  </si>
  <si>
    <t>2023 Delevan NWR T43.1</t>
  </si>
  <si>
    <t>2023 Delevan NWR T43.1 p1</t>
  </si>
  <si>
    <t>2023 Delevan NWR T43.2</t>
  </si>
  <si>
    <t>2023 Delevan NWR T43.2 p1</t>
  </si>
  <si>
    <t>2023 Delevan T6</t>
  </si>
  <si>
    <t>2023 Delevan Blind 4 p1</t>
  </si>
  <si>
    <t>2023 Hale Road</t>
  </si>
  <si>
    <t>2023 Hale Road p1</t>
  </si>
  <si>
    <t>2023 Hale Road p2</t>
  </si>
  <si>
    <t>post</t>
  </si>
  <si>
    <t>Himalayan blackberry, cattails</t>
  </si>
  <si>
    <t>2023 Iron Point</t>
  </si>
  <si>
    <t>2023 Iron Point p1</t>
  </si>
  <si>
    <t>2023 Kentucky Lateral</t>
  </si>
  <si>
    <t>2023 Kentucky Lateral p1</t>
  </si>
  <si>
    <t>2023 Kern - Canebreak Ecological Reserve 4</t>
  </si>
  <si>
    <t>2023 Kern - Canebreak Ecological Reserve 4 p1</t>
  </si>
  <si>
    <t>2023 Kern - HQ2</t>
  </si>
  <si>
    <t>2023 Kern - Headquarters 2 p1</t>
  </si>
  <si>
    <t>2023 Kern - Headquarters 2 p2</t>
  </si>
  <si>
    <t>2023 Laguna Fry Confluence - 45 Sump</t>
  </si>
  <si>
    <t>2023 45 Sump p1</t>
  </si>
  <si>
    <t>2023 Laguna Fry Confluence - Site 1</t>
  </si>
  <si>
    <t>2023 Laguna Fry Confluence 3 p1</t>
  </si>
  <si>
    <t>2023 Los Vaqueros - Walnut Trail Marsh</t>
  </si>
  <si>
    <t>2023 Los Vaqueros - Walnut Trail Marsh p1</t>
  </si>
  <si>
    <t>2023 Los Vaqueros Reservoir</t>
  </si>
  <si>
    <t>2023 Los Vaqueros Reservoir p1</t>
  </si>
  <si>
    <t>2023 Los Vaqueros Reservoir p2</t>
  </si>
  <si>
    <t>2023 Markham Ravine</t>
  </si>
  <si>
    <t>2023 Markham Ravine p1</t>
  </si>
  <si>
    <t>2023 Merced NWR - Cottonwood</t>
  </si>
  <si>
    <t>2023 Merced NWR - Cottonwood Trail p1</t>
  </si>
  <si>
    <t>Buttonwillow, milk thistle</t>
  </si>
  <si>
    <t>ND</t>
  </si>
  <si>
    <t>2023 Merced NWR - Cottonwood Trail p2</t>
  </si>
  <si>
    <t>2023 Merced NWR Deadman Wetland Ditch</t>
  </si>
  <si>
    <t>2023 Merced NWR - Deadman Wetland Ditch p1</t>
  </si>
  <si>
    <t>2023 North Regional Pond</t>
  </si>
  <si>
    <t>2023 North Regional Pond p1</t>
  </si>
  <si>
    <t>2023 OR Dizney Rd</t>
  </si>
  <si>
    <t>2023 Oregon State - Dizney Rd p1</t>
  </si>
  <si>
    <t>2023 OR Eureka Rd</t>
  </si>
  <si>
    <t>2023 Oregon State - Eureka Lane p1</t>
  </si>
  <si>
    <t>2023 OR Prineville North</t>
  </si>
  <si>
    <t>2023 Oregon State - Prineville Grimes Rd p1</t>
  </si>
  <si>
    <t>2023 Oregon State - Prineville Grimes Rd p2</t>
  </si>
  <si>
    <t>2023 Panoche Creek Preserve - Corrals SE</t>
  </si>
  <si>
    <t>2023 Panoche Creek Preserve - Corrals South East p1</t>
  </si>
  <si>
    <t>Fiddleneck, cheeseweed, London rocket, and Chilean chess</t>
  </si>
  <si>
    <t>400-500</t>
  </si>
  <si>
    <t>2023 Peterson Ranch Pond - East</t>
  </si>
  <si>
    <t>2023 Petersen Ranch Pond - East p1</t>
  </si>
  <si>
    <t>2023 Plumas Arboga 2</t>
  </si>
  <si>
    <t>2023 Plumas Arboga 2 p1</t>
  </si>
  <si>
    <t>2023 Plumas Arboga 8 - North Regional Pond</t>
  </si>
  <si>
    <t>2023 Plumas Arboga 8 p1</t>
  </si>
  <si>
    <t>2023 Plumas Arboga 8 p2</t>
  </si>
  <si>
    <t>2023 Rancho Jamul North Pond - fix lat lon</t>
  </si>
  <si>
    <t>2023 Rancho Jamul - North Pond p1</t>
  </si>
  <si>
    <t>2023 Rancho Jamul Site 1 fix lat lon</t>
  </si>
  <si>
    <t>2023 Rancho Jamul - Site 1 p1</t>
  </si>
  <si>
    <t>2023 Rancho Jamul - Site 1 p2</t>
  </si>
  <si>
    <t>2023 San Luis Bear Creek</t>
  </si>
  <si>
    <t>2023 San Luis NWR - Tanager Slough p1</t>
  </si>
  <si>
    <t>2023 San Luis NWR - West Bank Creek</t>
  </si>
  <si>
    <t>2023 San Luis NWR - Fiddleneck Lake p1</t>
  </si>
  <si>
    <t>2023 Sedgwick</t>
  </si>
  <si>
    <t>2023 Sedgwick Reserve p1</t>
  </si>
  <si>
    <t>2023 South Virginia Road 3</t>
  </si>
  <si>
    <t>2023 South Virginia Road 3 p1</t>
  </si>
  <si>
    <t>Himalayan blackberry, willows</t>
  </si>
  <si>
    <t>2023 Virginia at Ostrom</t>
  </si>
  <si>
    <t>2023 Virginia at Ostrom p1</t>
  </si>
  <si>
    <t>2023 WA Harder Spring</t>
  </si>
  <si>
    <t>2023 Washington State - Harder Spring p1</t>
  </si>
  <si>
    <t>2023 Washington State - Harder Spring p2</t>
  </si>
  <si>
    <t>2023 WA McCain Wetlands</t>
  </si>
  <si>
    <t>2023 Washington State - McCain Wetlands p1</t>
  </si>
  <si>
    <t>2023 Weagell Property 1</t>
  </si>
  <si>
    <t>2023 Laguna Frye Confluence 1 p1</t>
  </si>
  <si>
    <t>2023 Laguna Frye Confluence 1 p2</t>
  </si>
  <si>
    <t>2023 Laguna Frye Confluence 1 p3</t>
  </si>
  <si>
    <t>2023 Laguna Frye Confluence 1 p4</t>
  </si>
  <si>
    <t>2023 West of Davis</t>
  </si>
  <si>
    <t>2023 San Jacinto Wildlife Area West of Davis p1</t>
  </si>
  <si>
    <t>2023 San Jacinto Wildlife Area West of Davis p2</t>
  </si>
  <si>
    <t>2023 Wind Wolves Preserve site 1</t>
  </si>
  <si>
    <t>2023 Wind Wolves Preserve - Los Lobos p1</t>
  </si>
  <si>
    <t>2023 Wind Wolves Preserve Site 2</t>
  </si>
  <si>
    <t>2023 Wind Wolves Preserve - Santiago Wetlands p1</t>
  </si>
  <si>
    <t>2024 Baja Lago Mesa Redonda</t>
  </si>
  <si>
    <t>2024 Baja Lago Mesa Redonda p1</t>
  </si>
  <si>
    <t>2024 Baja Lago Mesa Redonda p2</t>
  </si>
  <si>
    <t>2024 Baja Lago Mesa Redonda p3</t>
  </si>
  <si>
    <t>2024 Baja Rancho Cinega Redonda 1</t>
  </si>
  <si>
    <t>2024 Baja CiÃ©nega Redonda North p1</t>
  </si>
  <si>
    <t>300-400</t>
  </si>
  <si>
    <t>2024 Baja CiÃ©nega Redonda North p2</t>
  </si>
  <si>
    <t>2024 Baja CiÃ©nega Redonda North p3</t>
  </si>
  <si>
    <t>2024 Baja Rancho Cinega Redonda 2</t>
  </si>
  <si>
    <t>2024 Baja CiÃ©nega Redonda South p1</t>
  </si>
  <si>
    <t>2024 Baja CiÃ©nega Redonda South p2</t>
  </si>
  <si>
    <t>2024 Colusa NWR T27.1</t>
  </si>
  <si>
    <t>2024 Colusa NWR T27.1 p1</t>
  </si>
  <si>
    <t>2024 Colusa NWR T27.2</t>
  </si>
  <si>
    <t>2024 Colusa NWR T27.2 p1</t>
  </si>
  <si>
    <t>2024 Dublin Ranch Preserve - Lin Livermore Conservation Area</t>
  </si>
  <si>
    <t>2024 Dagnino Pond p1</t>
  </si>
  <si>
    <t>2024 Kern 1 - check lat lon</t>
  </si>
  <si>
    <t>2024 Kern 1 p1</t>
  </si>
  <si>
    <t>2024 Los Vaqueros Reservoir</t>
  </si>
  <si>
    <t>2024 Los Vaqueros Reservoir p1</t>
  </si>
  <si>
    <t>2024 Los Vaqueros Reservoir p2</t>
  </si>
  <si>
    <t>2024 Markham Ravine 1</t>
  </si>
  <si>
    <t>2024 Markham Ravine 1 p1</t>
  </si>
  <si>
    <t>2024 Merced NWR - Cottonwood Trail</t>
  </si>
  <si>
    <t>2024 Merced NWR - Duck Slough Farmfield p1</t>
  </si>
  <si>
    <t>Milk thistle, mustard</t>
  </si>
  <si>
    <t>2024 Moore Lake - confirm lat lon</t>
  </si>
  <si>
    <t>2024 Moore's Lake p1</t>
  </si>
  <si>
    <t>2024 Newberry Springs</t>
  </si>
  <si>
    <t>2024 Newberry Springs  - Lake Wainani p1</t>
  </si>
  <si>
    <t>2024 North Regional Pond</t>
  </si>
  <si>
    <t>2024 North Regional Pond p1</t>
  </si>
  <si>
    <t>Mustard, milk thistle</t>
  </si>
  <si>
    <t>2024 Ohlone - Santa Lucia Preserve</t>
  </si>
  <si>
    <t>2024 Santa Lucia Preserve - Ohlone Pond p1</t>
  </si>
  <si>
    <t>2024 OR Eureka Lane</t>
  </si>
  <si>
    <t>2024 Oregon State -  Eureka Lane p1</t>
  </si>
  <si>
    <t>Cattails, Himalayan blackberry</t>
  </si>
  <si>
    <t>2024 Panoche Creek Preserve - Dollar Marsh East</t>
  </si>
  <si>
    <t>2024 Panoche Creek Marsh East p1</t>
  </si>
  <si>
    <t>2024 Rancho Jamul - Main Pond 1</t>
  </si>
  <si>
    <t>2024 Rancho Jamul - Main Pond 1 p1</t>
  </si>
  <si>
    <t>2024 Rancho Jamul - Main Pond 1 p2</t>
  </si>
  <si>
    <t>2024 Rancho Jamul - North Pond</t>
  </si>
  <si>
    <t>2024 Rancho Jamul - North Pond p1</t>
  </si>
  <si>
    <t>2024 Sedgwick</t>
  </si>
  <si>
    <t>2024 Sedgwick Reserve p1</t>
  </si>
  <si>
    <t>2024 SJWA Thistle NW of Bridge Street Pond</t>
  </si>
  <si>
    <t>2024 San Jacinto Wildlife Area - Thistle Patch NW of Bridge Street Pond p1</t>
  </si>
  <si>
    <t>2024 WA Harder Spring</t>
  </si>
  <si>
    <t>2024 Washington State - Harder Spring p1</t>
  </si>
  <si>
    <t>2024 WA McCain Pond</t>
  </si>
  <si>
    <t>2024 Washington State - McCain Wetlands p1</t>
  </si>
  <si>
    <t>2024 Wind Wolves Preserve - Los Lobos fix lat lon</t>
  </si>
  <si>
    <t>2024 Wind Wolves Preserve - Los Lobos p1</t>
  </si>
  <si>
    <t>2024 Wind Wolves Preserve - Pleitito</t>
  </si>
  <si>
    <t>2024 Wind Wolves Preserve - Pleitito Creek p1</t>
  </si>
  <si>
    <t>2024 Wind Wolves Preserve - Pleitito Creek p2</t>
  </si>
  <si>
    <t>2024 Wind Wolves Preserve - Santiago</t>
  </si>
  <si>
    <t>2024 Wind Wolves Preserve - Santiago Wetlands p1</t>
  </si>
  <si>
    <t>2024 Wind Wolves Preserve - Tevis fix lat lon</t>
  </si>
  <si>
    <t>2024 Wind Wolves Preserve - Tevis p1</t>
  </si>
  <si>
    <t>Ignore</t>
  </si>
  <si>
    <t>Y</t>
  </si>
  <si>
    <t>attempt id</t>
  </si>
  <si>
    <t>2021 Panoche Creek Preserve 1 West p1</t>
  </si>
  <si>
    <t>2022 Conaway East p1</t>
  </si>
  <si>
    <t>2023 Plumas Arboga 8 - North Regional Pond p1</t>
  </si>
  <si>
    <t>2023 Conaway Ranch Northeast p1</t>
  </si>
  <si>
    <t>2021 Panoche Creek Preserve 2 East p1</t>
  </si>
  <si>
    <t>2023 Laguna Fry Confluence - Site 1 p1</t>
  </si>
  <si>
    <t>2023 Laguna Fry Confluence - 45 Sump p1</t>
  </si>
  <si>
    <t>2023 Conaway Ranch - Headquarters p1</t>
  </si>
  <si>
    <t>2024 Panoche Creek Preserve - Dollar Marsh East p1</t>
  </si>
  <si>
    <t>2022 Panoche Creek Preserve Location 5 p1</t>
  </si>
  <si>
    <t>2023 Plumas Arboga 8 - North Regional Pond p2</t>
  </si>
  <si>
    <t>2020 Ohlone Pond - Santa Lucia Preserve p1</t>
  </si>
  <si>
    <t>2024 Baja Ciénega Redonda South p1</t>
  </si>
  <si>
    <t>2022 Baja Ciénega Redonda North p1</t>
  </si>
  <si>
    <t>2024 Baja Ciénega Redonda South p2</t>
  </si>
  <si>
    <t>2022 Sedgwick p1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</si>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</sst>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6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2D3-9B0F-4F65-80DD-DBC73FC2E232}">
  <sheetPr filterMode="1"/>
  <dimension ref="A1:P195"/>
  <sheetViews>
    <sheetView topLeftCell="B110" workbookViewId="0">
      <selection sqref="A1:N183"/>
    </sheetView>
  </sheetViews>
  <sheetFormatPr defaultRowHeight="14.25" x14ac:dyDescent="0.45"/>
  <cols>
    <col min="1" max="1" width="49.265625" bestFit="1" customWidth="1"/>
    <col min="2" max="2" width="42.53125" customWidth="1"/>
    <col min="3" max="3" width="7.796875" bestFit="1" customWidth="1"/>
    <col min="4" max="4" width="16.73046875" bestFit="1" customWidth="1"/>
  </cols>
  <sheetData>
    <row r="1" spans="1:16" x14ac:dyDescent="0.45">
      <c r="A1" t="s">
        <v>0</v>
      </c>
      <c r="B1" t="s">
        <v>1</v>
      </c>
      <c r="C1" t="s">
        <v>404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hidden="1" x14ac:dyDescent="0.45">
      <c r="A2" t="s">
        <v>15</v>
      </c>
      <c r="B2" t="s">
        <v>16</v>
      </c>
      <c r="C2" t="s">
        <v>405</v>
      </c>
      <c r="D2" t="s">
        <v>17</v>
      </c>
      <c r="E2" s="1">
        <v>42856</v>
      </c>
      <c r="F2" s="1">
        <v>42846</v>
      </c>
      <c r="G2">
        <v>10</v>
      </c>
      <c r="H2" s="3">
        <v>7</v>
      </c>
      <c r="I2">
        <v>0.7</v>
      </c>
      <c r="J2" s="1">
        <v>42867</v>
      </c>
      <c r="K2">
        <v>10</v>
      </c>
      <c r="L2">
        <v>0</v>
      </c>
      <c r="M2">
        <v>0</v>
      </c>
      <c r="N2">
        <v>0</v>
      </c>
    </row>
    <row r="3" spans="1:16" x14ac:dyDescent="0.45">
      <c r="A3" t="s">
        <v>15</v>
      </c>
      <c r="B3" t="s">
        <v>18</v>
      </c>
      <c r="D3" t="s">
        <v>19</v>
      </c>
      <c r="E3" s="1">
        <v>42885</v>
      </c>
      <c r="F3" s="1">
        <v>42875</v>
      </c>
      <c r="G3">
        <v>10</v>
      </c>
      <c r="H3" s="3">
        <v>162</v>
      </c>
      <c r="I3">
        <v>16.2</v>
      </c>
      <c r="J3" s="1">
        <v>42896</v>
      </c>
      <c r="K3">
        <v>10</v>
      </c>
      <c r="L3">
        <v>179</v>
      </c>
      <c r="M3">
        <v>17.899999999999999</v>
      </c>
      <c r="N3">
        <v>1.105</v>
      </c>
    </row>
    <row r="4" spans="1:16" x14ac:dyDescent="0.45">
      <c r="A4" t="s">
        <v>15</v>
      </c>
      <c r="B4" t="s">
        <v>20</v>
      </c>
      <c r="D4" t="s">
        <v>19</v>
      </c>
      <c r="E4" s="1">
        <v>42915</v>
      </c>
      <c r="F4" s="1">
        <v>42905</v>
      </c>
      <c r="G4">
        <v>10</v>
      </c>
      <c r="H4" s="3">
        <v>157</v>
      </c>
      <c r="I4">
        <v>15.7</v>
      </c>
      <c r="J4" s="1">
        <v>42922</v>
      </c>
      <c r="K4">
        <v>6</v>
      </c>
      <c r="L4">
        <v>22</v>
      </c>
      <c r="M4">
        <v>3.6669999999999998</v>
      </c>
      <c r="N4">
        <v>0.23400000000000001</v>
      </c>
    </row>
    <row r="5" spans="1:16" hidden="1" x14ac:dyDescent="0.45">
      <c r="A5" t="s">
        <v>21</v>
      </c>
      <c r="B5" t="s">
        <v>22</v>
      </c>
      <c r="C5" t="s">
        <v>405</v>
      </c>
      <c r="D5" t="s">
        <v>23</v>
      </c>
      <c r="E5" t="s">
        <v>24</v>
      </c>
      <c r="F5" t="s">
        <v>25</v>
      </c>
      <c r="G5">
        <v>0</v>
      </c>
      <c r="H5">
        <v>0</v>
      </c>
      <c r="I5" t="s">
        <v>25</v>
      </c>
      <c r="J5" t="s">
        <v>25</v>
      </c>
      <c r="K5">
        <v>0</v>
      </c>
      <c r="L5">
        <v>0</v>
      </c>
      <c r="M5" t="s">
        <v>25</v>
      </c>
      <c r="N5" t="s">
        <v>25</v>
      </c>
      <c r="O5" t="s">
        <v>26</v>
      </c>
      <c r="P5">
        <v>2000</v>
      </c>
    </row>
    <row r="6" spans="1:16" hidden="1" x14ac:dyDescent="0.45">
      <c r="A6" t="s">
        <v>27</v>
      </c>
      <c r="B6" t="s">
        <v>28</v>
      </c>
      <c r="C6" t="s">
        <v>405</v>
      </c>
      <c r="D6" t="s">
        <v>19</v>
      </c>
      <c r="E6" t="s">
        <v>24</v>
      </c>
      <c r="F6" t="s">
        <v>25</v>
      </c>
      <c r="G6">
        <v>0</v>
      </c>
      <c r="H6" s="3">
        <v>0</v>
      </c>
      <c r="I6" t="s">
        <v>25</v>
      </c>
      <c r="J6" t="s">
        <v>25</v>
      </c>
      <c r="K6">
        <v>0</v>
      </c>
      <c r="L6">
        <v>0</v>
      </c>
      <c r="M6" t="s">
        <v>25</v>
      </c>
      <c r="N6" t="s">
        <v>25</v>
      </c>
      <c r="O6" t="s">
        <v>29</v>
      </c>
      <c r="P6">
        <v>1000</v>
      </c>
    </row>
    <row r="7" spans="1:16" hidden="1" x14ac:dyDescent="0.45">
      <c r="A7" t="s">
        <v>30</v>
      </c>
      <c r="B7" t="s">
        <v>31</v>
      </c>
      <c r="C7" t="s">
        <v>405</v>
      </c>
      <c r="D7" t="s">
        <v>19</v>
      </c>
      <c r="E7" t="s">
        <v>32</v>
      </c>
      <c r="F7" t="s">
        <v>25</v>
      </c>
      <c r="G7">
        <v>0</v>
      </c>
      <c r="H7" s="3">
        <v>0</v>
      </c>
      <c r="I7" t="s">
        <v>25</v>
      </c>
      <c r="J7" t="s">
        <v>25</v>
      </c>
      <c r="K7">
        <v>0</v>
      </c>
      <c r="L7">
        <v>0</v>
      </c>
      <c r="M7" t="s">
        <v>25</v>
      </c>
      <c r="N7" t="s">
        <v>25</v>
      </c>
      <c r="O7" t="s">
        <v>29</v>
      </c>
      <c r="P7">
        <v>1000</v>
      </c>
    </row>
    <row r="8" spans="1:16" x14ac:dyDescent="0.45">
      <c r="A8" t="s">
        <v>33</v>
      </c>
      <c r="B8" t="s">
        <v>34</v>
      </c>
      <c r="D8" s="2" t="s">
        <v>17</v>
      </c>
      <c r="E8" s="1">
        <v>43237</v>
      </c>
      <c r="F8" s="1">
        <v>43227</v>
      </c>
      <c r="G8">
        <v>10</v>
      </c>
      <c r="H8" s="3">
        <v>195</v>
      </c>
      <c r="I8">
        <v>19.5</v>
      </c>
      <c r="J8" s="1">
        <v>43248</v>
      </c>
      <c r="K8">
        <v>10</v>
      </c>
      <c r="L8">
        <v>0</v>
      </c>
      <c r="M8">
        <v>0</v>
      </c>
      <c r="N8">
        <v>0</v>
      </c>
    </row>
    <row r="9" spans="1:16" x14ac:dyDescent="0.45">
      <c r="A9" t="s">
        <v>35</v>
      </c>
      <c r="B9" t="s">
        <v>36</v>
      </c>
      <c r="D9" t="s">
        <v>19</v>
      </c>
      <c r="E9" s="1">
        <v>43245</v>
      </c>
      <c r="F9" s="1">
        <v>43235</v>
      </c>
      <c r="G9">
        <v>10</v>
      </c>
      <c r="H9" s="3">
        <v>54</v>
      </c>
      <c r="I9">
        <v>5.4</v>
      </c>
      <c r="J9" s="1">
        <v>43256</v>
      </c>
      <c r="K9">
        <v>10</v>
      </c>
      <c r="L9">
        <v>31</v>
      </c>
      <c r="M9">
        <v>3.1</v>
      </c>
      <c r="N9">
        <v>0.57399999999999995</v>
      </c>
    </row>
    <row r="10" spans="1:16" x14ac:dyDescent="0.45">
      <c r="A10" t="s">
        <v>37</v>
      </c>
      <c r="B10" t="s">
        <v>38</v>
      </c>
      <c r="D10" s="2" t="s">
        <v>17</v>
      </c>
      <c r="E10" s="1">
        <v>43214</v>
      </c>
      <c r="F10" s="1">
        <v>43204</v>
      </c>
      <c r="G10">
        <v>10</v>
      </c>
      <c r="H10" s="3">
        <v>84</v>
      </c>
      <c r="I10">
        <v>8.4</v>
      </c>
      <c r="J10" s="1">
        <v>43221</v>
      </c>
      <c r="K10">
        <v>6</v>
      </c>
      <c r="L10">
        <v>0</v>
      </c>
      <c r="M10">
        <v>0</v>
      </c>
      <c r="N10">
        <v>0</v>
      </c>
    </row>
    <row r="11" spans="1:16" hidden="1" x14ac:dyDescent="0.45">
      <c r="A11" t="s">
        <v>39</v>
      </c>
      <c r="B11" t="s">
        <v>40</v>
      </c>
      <c r="C11" t="s">
        <v>405</v>
      </c>
      <c r="D11" t="s">
        <v>17</v>
      </c>
      <c r="E11" t="s">
        <v>24</v>
      </c>
      <c r="F11" t="s">
        <v>25</v>
      </c>
      <c r="G11">
        <v>0</v>
      </c>
      <c r="H11" s="3">
        <v>0</v>
      </c>
      <c r="I11" t="s">
        <v>25</v>
      </c>
      <c r="J11" t="s">
        <v>25</v>
      </c>
      <c r="K11">
        <v>0</v>
      </c>
      <c r="L11">
        <v>0</v>
      </c>
      <c r="M11" t="s">
        <v>25</v>
      </c>
      <c r="N11" t="s">
        <v>25</v>
      </c>
      <c r="O11" t="s">
        <v>41</v>
      </c>
      <c r="P11">
        <v>30000</v>
      </c>
    </row>
    <row r="12" spans="1:16" hidden="1" x14ac:dyDescent="0.45">
      <c r="A12" t="s">
        <v>42</v>
      </c>
      <c r="B12" t="s">
        <v>43</v>
      </c>
      <c r="C12" t="s">
        <v>405</v>
      </c>
      <c r="D12" t="s">
        <v>19</v>
      </c>
      <c r="E12" t="s">
        <v>24</v>
      </c>
      <c r="F12" t="s">
        <v>25</v>
      </c>
      <c r="G12">
        <v>0</v>
      </c>
      <c r="H12" s="3">
        <v>0</v>
      </c>
      <c r="I12" t="s">
        <v>25</v>
      </c>
      <c r="J12" t="s">
        <v>25</v>
      </c>
      <c r="K12">
        <v>0</v>
      </c>
      <c r="L12">
        <v>0</v>
      </c>
      <c r="M12" t="s">
        <v>25</v>
      </c>
      <c r="N12" t="s">
        <v>25</v>
      </c>
      <c r="O12" t="s">
        <v>41</v>
      </c>
      <c r="P12">
        <v>20000</v>
      </c>
    </row>
    <row r="13" spans="1:16" hidden="1" x14ac:dyDescent="0.45">
      <c r="A13" t="s">
        <v>44</v>
      </c>
      <c r="B13" t="s">
        <v>45</v>
      </c>
      <c r="C13" t="s">
        <v>405</v>
      </c>
      <c r="D13" s="2" t="s">
        <v>46</v>
      </c>
      <c r="E13" s="1">
        <v>43613</v>
      </c>
      <c r="F13" s="1">
        <v>43606</v>
      </c>
      <c r="G13">
        <v>7</v>
      </c>
      <c r="H13" s="3">
        <v>26</v>
      </c>
      <c r="I13">
        <v>3.714</v>
      </c>
      <c r="J13" s="1">
        <v>43624</v>
      </c>
      <c r="K13">
        <v>10</v>
      </c>
      <c r="L13">
        <v>4</v>
      </c>
      <c r="M13">
        <v>0.4</v>
      </c>
      <c r="N13">
        <v>0.108</v>
      </c>
    </row>
    <row r="14" spans="1:16" x14ac:dyDescent="0.45">
      <c r="A14" t="s">
        <v>47</v>
      </c>
      <c r="B14" t="s">
        <v>48</v>
      </c>
      <c r="D14" t="s">
        <v>19</v>
      </c>
      <c r="E14" s="1">
        <v>43595</v>
      </c>
      <c r="F14" s="1">
        <v>43585</v>
      </c>
      <c r="G14">
        <v>10</v>
      </c>
      <c r="H14" s="3">
        <v>65</v>
      </c>
      <c r="I14">
        <v>6.5</v>
      </c>
      <c r="J14" s="1">
        <v>43606</v>
      </c>
      <c r="K14">
        <v>10</v>
      </c>
      <c r="L14">
        <v>42</v>
      </c>
      <c r="M14">
        <v>4.2</v>
      </c>
      <c r="N14">
        <v>0.64600000000000002</v>
      </c>
    </row>
    <row r="15" spans="1:16" x14ac:dyDescent="0.45">
      <c r="A15" t="s">
        <v>47</v>
      </c>
      <c r="B15" t="s">
        <v>49</v>
      </c>
      <c r="D15" s="2" t="s">
        <v>17</v>
      </c>
      <c r="E15" s="1">
        <v>43616</v>
      </c>
      <c r="F15" s="1">
        <v>43606</v>
      </c>
      <c r="G15">
        <v>10</v>
      </c>
      <c r="H15" s="3">
        <v>108</v>
      </c>
      <c r="I15">
        <v>10.8</v>
      </c>
      <c r="J15" s="1">
        <v>43627</v>
      </c>
      <c r="K15">
        <v>10</v>
      </c>
      <c r="L15">
        <v>0</v>
      </c>
      <c r="M15">
        <v>0</v>
      </c>
      <c r="N15">
        <v>0</v>
      </c>
    </row>
    <row r="16" spans="1:16" x14ac:dyDescent="0.45">
      <c r="A16" t="s">
        <v>50</v>
      </c>
      <c r="B16" t="s">
        <v>51</v>
      </c>
      <c r="D16" t="s">
        <v>19</v>
      </c>
      <c r="E16" s="1">
        <v>43582</v>
      </c>
      <c r="F16" s="1">
        <v>43572</v>
      </c>
      <c r="G16">
        <v>10</v>
      </c>
      <c r="H16" s="3">
        <v>125</v>
      </c>
      <c r="I16">
        <v>12.5</v>
      </c>
      <c r="J16" s="1">
        <v>43593</v>
      </c>
      <c r="K16">
        <v>10</v>
      </c>
      <c r="L16">
        <v>70</v>
      </c>
      <c r="M16">
        <v>7</v>
      </c>
      <c r="N16">
        <v>0.56000000000000005</v>
      </c>
    </row>
    <row r="17" spans="1:16" x14ac:dyDescent="0.45">
      <c r="A17" t="s">
        <v>50</v>
      </c>
      <c r="B17" t="s">
        <v>52</v>
      </c>
      <c r="D17" s="2" t="s">
        <v>46</v>
      </c>
      <c r="E17" s="1">
        <v>43625</v>
      </c>
      <c r="F17" s="1">
        <v>43615</v>
      </c>
      <c r="G17">
        <v>10</v>
      </c>
      <c r="H17" s="3">
        <v>65</v>
      </c>
      <c r="I17">
        <v>6.5</v>
      </c>
      <c r="J17" s="1">
        <v>43636</v>
      </c>
      <c r="K17">
        <v>10</v>
      </c>
      <c r="L17">
        <v>8</v>
      </c>
      <c r="M17">
        <v>0.8</v>
      </c>
      <c r="N17">
        <v>0.123</v>
      </c>
    </row>
    <row r="18" spans="1:16" x14ac:dyDescent="0.45">
      <c r="A18" t="s">
        <v>53</v>
      </c>
      <c r="B18" t="s">
        <v>54</v>
      </c>
      <c r="D18" t="s">
        <v>19</v>
      </c>
      <c r="E18" s="1">
        <v>43588</v>
      </c>
      <c r="F18" s="1">
        <v>43579</v>
      </c>
      <c r="G18">
        <v>9</v>
      </c>
      <c r="H18" s="3">
        <v>141</v>
      </c>
      <c r="I18">
        <v>15.667</v>
      </c>
      <c r="J18" s="1">
        <v>43599</v>
      </c>
      <c r="K18">
        <v>10</v>
      </c>
      <c r="L18">
        <v>48</v>
      </c>
      <c r="M18">
        <v>4.8</v>
      </c>
      <c r="N18">
        <v>0.30599999999999999</v>
      </c>
    </row>
    <row r="19" spans="1:16" hidden="1" x14ac:dyDescent="0.45">
      <c r="A19" t="s">
        <v>55</v>
      </c>
      <c r="B19" t="s">
        <v>56</v>
      </c>
      <c r="C19" t="s">
        <v>405</v>
      </c>
      <c r="D19" t="s">
        <v>19</v>
      </c>
      <c r="E19" t="s">
        <v>24</v>
      </c>
      <c r="F19" t="s">
        <v>25</v>
      </c>
      <c r="G19">
        <v>0</v>
      </c>
      <c r="H19" s="3">
        <v>0</v>
      </c>
      <c r="I19" t="s">
        <v>25</v>
      </c>
      <c r="J19" t="s">
        <v>25</v>
      </c>
      <c r="K19">
        <v>0</v>
      </c>
      <c r="L19">
        <v>0</v>
      </c>
      <c r="M19" t="s">
        <v>25</v>
      </c>
      <c r="N19" t="s">
        <v>25</v>
      </c>
      <c r="O19" t="s">
        <v>41</v>
      </c>
      <c r="P19">
        <v>2000</v>
      </c>
    </row>
    <row r="20" spans="1:16" hidden="1" x14ac:dyDescent="0.45">
      <c r="A20" t="s">
        <v>55</v>
      </c>
      <c r="B20" t="s">
        <v>57</v>
      </c>
      <c r="C20" t="s">
        <v>405</v>
      </c>
      <c r="D20" t="s">
        <v>19</v>
      </c>
      <c r="E20" t="s">
        <v>24</v>
      </c>
      <c r="F20" t="s">
        <v>25</v>
      </c>
      <c r="G20">
        <v>0</v>
      </c>
      <c r="H20" s="3">
        <v>0</v>
      </c>
      <c r="I20" t="s">
        <v>25</v>
      </c>
      <c r="J20" t="s">
        <v>25</v>
      </c>
      <c r="K20">
        <v>0</v>
      </c>
      <c r="L20">
        <v>0</v>
      </c>
      <c r="M20" t="s">
        <v>25</v>
      </c>
      <c r="N20" t="s">
        <v>25</v>
      </c>
      <c r="O20" t="s">
        <v>41</v>
      </c>
      <c r="P20">
        <v>2000</v>
      </c>
    </row>
    <row r="21" spans="1:16" x14ac:dyDescent="0.45">
      <c r="A21" t="s">
        <v>58</v>
      </c>
      <c r="B21" t="s">
        <v>59</v>
      </c>
      <c r="D21" s="2" t="s">
        <v>46</v>
      </c>
      <c r="E21" s="1">
        <v>43613</v>
      </c>
      <c r="F21" s="1">
        <v>43603</v>
      </c>
      <c r="G21">
        <v>10</v>
      </c>
      <c r="H21" s="3">
        <v>264</v>
      </c>
      <c r="I21">
        <v>26.4</v>
      </c>
      <c r="J21" s="1">
        <v>43624</v>
      </c>
      <c r="K21">
        <v>10</v>
      </c>
      <c r="L21">
        <v>69</v>
      </c>
      <c r="M21">
        <v>6.9</v>
      </c>
      <c r="N21">
        <v>0.26100000000000001</v>
      </c>
    </row>
    <row r="22" spans="1:16" x14ac:dyDescent="0.45">
      <c r="A22" t="s">
        <v>60</v>
      </c>
      <c r="B22" t="s">
        <v>61</v>
      </c>
      <c r="D22" s="2" t="s">
        <v>46</v>
      </c>
      <c r="E22" s="1">
        <v>43616</v>
      </c>
      <c r="F22" s="1">
        <v>43606</v>
      </c>
      <c r="G22">
        <v>10</v>
      </c>
      <c r="H22" s="3">
        <v>172</v>
      </c>
      <c r="I22">
        <v>17.2</v>
      </c>
      <c r="J22" s="1">
        <v>43626</v>
      </c>
      <c r="K22">
        <v>9</v>
      </c>
      <c r="L22">
        <v>35</v>
      </c>
      <c r="M22">
        <v>3.8889999999999998</v>
      </c>
      <c r="N22">
        <v>0.22600000000000001</v>
      </c>
    </row>
    <row r="23" spans="1:16" hidden="1" x14ac:dyDescent="0.45">
      <c r="A23" t="s">
        <v>62</v>
      </c>
      <c r="B23" t="s">
        <v>63</v>
      </c>
      <c r="C23" t="s">
        <v>405</v>
      </c>
      <c r="D23" s="2" t="s">
        <v>17</v>
      </c>
      <c r="E23" s="1">
        <v>43602</v>
      </c>
      <c r="F23" s="1">
        <v>43592</v>
      </c>
      <c r="G23">
        <v>10</v>
      </c>
      <c r="H23" s="3">
        <v>48</v>
      </c>
      <c r="I23">
        <v>4.8</v>
      </c>
      <c r="J23" s="1">
        <v>43613</v>
      </c>
      <c r="K23">
        <v>10</v>
      </c>
      <c r="L23">
        <v>0</v>
      </c>
      <c r="M23">
        <v>0</v>
      </c>
      <c r="N23">
        <v>0</v>
      </c>
    </row>
    <row r="24" spans="1:16" hidden="1" x14ac:dyDescent="0.45">
      <c r="A24" t="s">
        <v>64</v>
      </c>
      <c r="B24" t="s">
        <v>65</v>
      </c>
      <c r="C24" t="s">
        <v>405</v>
      </c>
      <c r="D24" t="s">
        <v>19</v>
      </c>
      <c r="E24" s="1">
        <v>43988</v>
      </c>
      <c r="F24" s="1">
        <v>43978</v>
      </c>
      <c r="G24">
        <v>10</v>
      </c>
      <c r="H24" s="3">
        <v>16</v>
      </c>
      <c r="I24">
        <v>1.6</v>
      </c>
      <c r="J24" s="1">
        <v>43999</v>
      </c>
      <c r="K24">
        <v>10</v>
      </c>
      <c r="L24">
        <v>0</v>
      </c>
      <c r="M24">
        <v>0</v>
      </c>
      <c r="N24">
        <v>0</v>
      </c>
    </row>
    <row r="25" spans="1:16" hidden="1" x14ac:dyDescent="0.45">
      <c r="A25" t="s">
        <v>66</v>
      </c>
      <c r="B25" t="s">
        <v>67</v>
      </c>
      <c r="C25" t="s">
        <v>405</v>
      </c>
      <c r="D25" t="s">
        <v>23</v>
      </c>
      <c r="E25" t="s">
        <v>24</v>
      </c>
      <c r="F25" t="s">
        <v>25</v>
      </c>
      <c r="G25">
        <v>0</v>
      </c>
      <c r="H25">
        <v>0</v>
      </c>
      <c r="I25" t="s">
        <v>25</v>
      </c>
      <c r="J25" t="s">
        <v>25</v>
      </c>
      <c r="K25">
        <v>0</v>
      </c>
      <c r="L25">
        <v>0</v>
      </c>
      <c r="M25" t="s">
        <v>25</v>
      </c>
      <c r="N25" t="s">
        <v>25</v>
      </c>
      <c r="O25" t="s">
        <v>29</v>
      </c>
      <c r="P25">
        <v>1000</v>
      </c>
    </row>
    <row r="26" spans="1:16" hidden="1" x14ac:dyDescent="0.45">
      <c r="A26" t="s">
        <v>68</v>
      </c>
      <c r="B26" t="s">
        <v>69</v>
      </c>
      <c r="C26" t="s">
        <v>405</v>
      </c>
      <c r="D26" t="s">
        <v>19</v>
      </c>
      <c r="E26" s="1">
        <v>43945</v>
      </c>
      <c r="F26" s="1">
        <v>43935</v>
      </c>
      <c r="G26">
        <v>10</v>
      </c>
      <c r="H26" s="3">
        <v>20</v>
      </c>
      <c r="I26">
        <v>2</v>
      </c>
      <c r="J26" s="1">
        <v>43956</v>
      </c>
      <c r="K26">
        <v>10</v>
      </c>
      <c r="L26">
        <v>79</v>
      </c>
      <c r="M26">
        <v>7.9</v>
      </c>
      <c r="N26">
        <v>3.95</v>
      </c>
    </row>
    <row r="27" spans="1:16" hidden="1" x14ac:dyDescent="0.45">
      <c r="A27" t="s">
        <v>70</v>
      </c>
      <c r="B27" t="s">
        <v>71</v>
      </c>
      <c r="C27" t="s">
        <v>405</v>
      </c>
      <c r="D27" t="s">
        <v>19</v>
      </c>
      <c r="E27" s="1">
        <v>43948</v>
      </c>
      <c r="F27" s="1">
        <v>43938</v>
      </c>
      <c r="G27">
        <v>10</v>
      </c>
      <c r="H27" s="3">
        <v>21</v>
      </c>
      <c r="I27">
        <v>2.1</v>
      </c>
      <c r="J27" s="1">
        <v>43959</v>
      </c>
      <c r="K27">
        <v>10</v>
      </c>
      <c r="L27">
        <v>25</v>
      </c>
      <c r="M27">
        <v>2.5</v>
      </c>
      <c r="N27">
        <v>1.19</v>
      </c>
    </row>
    <row r="28" spans="1:16" hidden="1" x14ac:dyDescent="0.45">
      <c r="A28" t="s">
        <v>70</v>
      </c>
      <c r="B28" t="s">
        <v>72</v>
      </c>
      <c r="C28" t="s">
        <v>405</v>
      </c>
      <c r="D28" t="s">
        <v>19</v>
      </c>
      <c r="E28" t="s">
        <v>24</v>
      </c>
      <c r="F28" t="s">
        <v>25</v>
      </c>
      <c r="G28">
        <v>0</v>
      </c>
      <c r="H28" s="3">
        <v>0</v>
      </c>
      <c r="I28" t="s">
        <v>25</v>
      </c>
      <c r="J28" t="s">
        <v>25</v>
      </c>
      <c r="K28">
        <v>0</v>
      </c>
      <c r="L28">
        <v>0</v>
      </c>
      <c r="M28" t="s">
        <v>25</v>
      </c>
      <c r="N28" t="s">
        <v>25</v>
      </c>
      <c r="O28" t="s">
        <v>41</v>
      </c>
      <c r="P28">
        <v>4000</v>
      </c>
    </row>
    <row r="29" spans="1:16" hidden="1" x14ac:dyDescent="0.45">
      <c r="A29" t="s">
        <v>73</v>
      </c>
      <c r="B29" t="s">
        <v>74</v>
      </c>
      <c r="C29" t="s">
        <v>405</v>
      </c>
      <c r="D29" t="s">
        <v>23</v>
      </c>
      <c r="E29" t="s">
        <v>24</v>
      </c>
      <c r="F29" t="s">
        <v>25</v>
      </c>
      <c r="G29">
        <v>0</v>
      </c>
      <c r="H29">
        <v>0</v>
      </c>
      <c r="I29" t="s">
        <v>25</v>
      </c>
      <c r="J29" t="s">
        <v>25</v>
      </c>
      <c r="K29">
        <v>0</v>
      </c>
      <c r="L29">
        <v>0</v>
      </c>
      <c r="M29" t="s">
        <v>25</v>
      </c>
      <c r="N29" t="s">
        <v>25</v>
      </c>
      <c r="O29" t="s">
        <v>26</v>
      </c>
      <c r="P29" t="s">
        <v>23</v>
      </c>
    </row>
    <row r="30" spans="1:16" x14ac:dyDescent="0.45">
      <c r="A30" t="s">
        <v>75</v>
      </c>
      <c r="B30" t="s">
        <v>76</v>
      </c>
      <c r="D30" s="2" t="s">
        <v>46</v>
      </c>
      <c r="E30" s="1">
        <v>43970</v>
      </c>
      <c r="F30" s="1">
        <v>43960</v>
      </c>
      <c r="G30">
        <v>10</v>
      </c>
      <c r="H30" s="3">
        <v>240</v>
      </c>
      <c r="I30">
        <v>24</v>
      </c>
      <c r="J30" s="1">
        <v>43980</v>
      </c>
      <c r="K30">
        <v>9</v>
      </c>
      <c r="L30">
        <v>48</v>
      </c>
      <c r="M30">
        <v>5.3330000000000002</v>
      </c>
      <c r="N30">
        <v>0.222</v>
      </c>
    </row>
    <row r="31" spans="1:16" x14ac:dyDescent="0.45">
      <c r="A31" t="s">
        <v>77</v>
      </c>
      <c r="B31" t="s">
        <v>78</v>
      </c>
      <c r="D31" t="s">
        <v>19</v>
      </c>
      <c r="E31" s="1">
        <v>43955</v>
      </c>
      <c r="F31" s="1">
        <v>43945</v>
      </c>
      <c r="G31">
        <v>10</v>
      </c>
      <c r="H31" s="3">
        <v>59</v>
      </c>
      <c r="I31">
        <v>5.9</v>
      </c>
      <c r="J31" s="1">
        <v>43966</v>
      </c>
      <c r="K31">
        <v>10</v>
      </c>
      <c r="L31">
        <v>84</v>
      </c>
      <c r="M31">
        <v>8.4</v>
      </c>
      <c r="N31">
        <v>1.4239999999999999</v>
      </c>
    </row>
    <row r="32" spans="1:16" hidden="1" x14ac:dyDescent="0.45">
      <c r="A32" t="s">
        <v>79</v>
      </c>
      <c r="B32" t="s">
        <v>80</v>
      </c>
      <c r="C32" t="s">
        <v>405</v>
      </c>
      <c r="D32" t="s">
        <v>23</v>
      </c>
      <c r="E32" t="s">
        <v>24</v>
      </c>
      <c r="F32" t="s">
        <v>25</v>
      </c>
      <c r="G32">
        <v>0</v>
      </c>
      <c r="H32">
        <v>0</v>
      </c>
      <c r="I32" t="s">
        <v>25</v>
      </c>
      <c r="J32" t="s">
        <v>25</v>
      </c>
      <c r="K32">
        <v>0</v>
      </c>
      <c r="L32">
        <v>0</v>
      </c>
      <c r="M32" t="s">
        <v>25</v>
      </c>
      <c r="N32" t="s">
        <v>25</v>
      </c>
      <c r="O32" t="s">
        <v>41</v>
      </c>
      <c r="P32" t="s">
        <v>23</v>
      </c>
    </row>
    <row r="33" spans="1:16" hidden="1" x14ac:dyDescent="0.45">
      <c r="A33" t="s">
        <v>81</v>
      </c>
      <c r="B33" t="s">
        <v>82</v>
      </c>
      <c r="C33" t="s">
        <v>405</v>
      </c>
      <c r="D33" t="s">
        <v>19</v>
      </c>
      <c r="E33" s="1">
        <v>44351</v>
      </c>
      <c r="F33" s="1">
        <v>44341</v>
      </c>
      <c r="G33">
        <v>10</v>
      </c>
      <c r="H33" s="3">
        <v>14</v>
      </c>
      <c r="I33">
        <v>1.4</v>
      </c>
      <c r="J33" s="1">
        <v>44362</v>
      </c>
      <c r="K33">
        <v>10</v>
      </c>
      <c r="L33">
        <v>27</v>
      </c>
      <c r="M33">
        <v>2.7</v>
      </c>
      <c r="N33">
        <v>1.929</v>
      </c>
    </row>
    <row r="34" spans="1:16" hidden="1" x14ac:dyDescent="0.45">
      <c r="A34" t="s">
        <v>83</v>
      </c>
      <c r="B34" t="s">
        <v>84</v>
      </c>
      <c r="C34" t="s">
        <v>405</v>
      </c>
      <c r="D34" s="2" t="s">
        <v>85</v>
      </c>
      <c r="E34" s="1">
        <v>44362</v>
      </c>
      <c r="F34" s="1">
        <v>44352</v>
      </c>
      <c r="G34">
        <v>10</v>
      </c>
      <c r="H34">
        <v>89</v>
      </c>
      <c r="I34">
        <v>8.9</v>
      </c>
      <c r="J34" s="1">
        <v>44368</v>
      </c>
      <c r="K34">
        <v>5</v>
      </c>
      <c r="L34">
        <v>0</v>
      </c>
      <c r="M34">
        <v>0</v>
      </c>
      <c r="N34">
        <v>0</v>
      </c>
    </row>
    <row r="35" spans="1:16" x14ac:dyDescent="0.45">
      <c r="A35" t="s">
        <v>86</v>
      </c>
      <c r="B35" t="s">
        <v>87</v>
      </c>
      <c r="D35" t="s">
        <v>19</v>
      </c>
      <c r="E35" s="1">
        <v>44357</v>
      </c>
      <c r="F35" s="1">
        <v>44347</v>
      </c>
      <c r="G35">
        <v>10</v>
      </c>
      <c r="H35" s="3">
        <v>128</v>
      </c>
      <c r="I35">
        <v>12.8</v>
      </c>
      <c r="J35" s="1">
        <v>44368</v>
      </c>
      <c r="K35">
        <v>10</v>
      </c>
      <c r="L35">
        <v>165</v>
      </c>
      <c r="M35">
        <v>16.5</v>
      </c>
      <c r="N35">
        <v>1.2889999999999999</v>
      </c>
    </row>
    <row r="36" spans="1:16" hidden="1" x14ac:dyDescent="0.45">
      <c r="A36" t="s">
        <v>88</v>
      </c>
      <c r="B36" t="s">
        <v>89</v>
      </c>
      <c r="C36" t="s">
        <v>405</v>
      </c>
      <c r="D36" t="s">
        <v>23</v>
      </c>
      <c r="E36" t="s">
        <v>24</v>
      </c>
      <c r="F36" t="s">
        <v>25</v>
      </c>
      <c r="G36">
        <v>0</v>
      </c>
      <c r="H36">
        <v>0</v>
      </c>
      <c r="I36" t="s">
        <v>25</v>
      </c>
      <c r="J36" t="s">
        <v>25</v>
      </c>
      <c r="K36">
        <v>0</v>
      </c>
      <c r="L36">
        <v>0</v>
      </c>
      <c r="M36" t="s">
        <v>25</v>
      </c>
      <c r="N36" t="s">
        <v>25</v>
      </c>
      <c r="O36" t="s">
        <v>29</v>
      </c>
      <c r="P36">
        <v>1000</v>
      </c>
    </row>
    <row r="37" spans="1:16" hidden="1" x14ac:dyDescent="0.45">
      <c r="A37" t="s">
        <v>90</v>
      </c>
      <c r="B37" t="s">
        <v>91</v>
      </c>
      <c r="C37" t="s">
        <v>405</v>
      </c>
      <c r="D37" t="s">
        <v>23</v>
      </c>
      <c r="E37" t="s">
        <v>24</v>
      </c>
      <c r="F37" t="s">
        <v>25</v>
      </c>
      <c r="G37">
        <v>0</v>
      </c>
      <c r="H37">
        <v>0</v>
      </c>
      <c r="I37" t="s">
        <v>25</v>
      </c>
      <c r="J37" t="s">
        <v>25</v>
      </c>
      <c r="K37">
        <v>0</v>
      </c>
      <c r="L37">
        <v>0</v>
      </c>
      <c r="M37" t="s">
        <v>25</v>
      </c>
      <c r="N37" t="s">
        <v>25</v>
      </c>
      <c r="O37" t="s">
        <v>92</v>
      </c>
      <c r="P37" t="s">
        <v>23</v>
      </c>
    </row>
    <row r="38" spans="1:16" x14ac:dyDescent="0.45">
      <c r="A38" t="s">
        <v>93</v>
      </c>
      <c r="B38" t="s">
        <v>94</v>
      </c>
      <c r="D38" t="s">
        <v>19</v>
      </c>
      <c r="E38" s="1">
        <v>44328</v>
      </c>
      <c r="F38" s="1">
        <v>44320</v>
      </c>
      <c r="G38">
        <v>8</v>
      </c>
      <c r="H38" s="3">
        <v>179</v>
      </c>
      <c r="I38">
        <v>22.375</v>
      </c>
      <c r="J38" s="1">
        <v>44339</v>
      </c>
      <c r="K38">
        <v>10</v>
      </c>
      <c r="L38">
        <v>281</v>
      </c>
      <c r="M38">
        <v>28.1</v>
      </c>
      <c r="N38">
        <v>1.256</v>
      </c>
    </row>
    <row r="39" spans="1:16" hidden="1" x14ac:dyDescent="0.45">
      <c r="A39" t="s">
        <v>93</v>
      </c>
      <c r="B39" t="s">
        <v>95</v>
      </c>
      <c r="C39" t="s">
        <v>405</v>
      </c>
      <c r="D39" t="s">
        <v>85</v>
      </c>
      <c r="E39" s="1">
        <v>44359</v>
      </c>
      <c r="F39" s="1">
        <v>44349</v>
      </c>
      <c r="G39">
        <v>10</v>
      </c>
      <c r="H39">
        <v>12</v>
      </c>
      <c r="I39">
        <v>1.2</v>
      </c>
      <c r="J39" s="1">
        <v>44361</v>
      </c>
      <c r="K39">
        <v>1</v>
      </c>
      <c r="L39">
        <v>0</v>
      </c>
      <c r="M39">
        <v>0</v>
      </c>
      <c r="N39">
        <v>0</v>
      </c>
    </row>
    <row r="40" spans="1:16" x14ac:dyDescent="0.45">
      <c r="A40" t="s">
        <v>96</v>
      </c>
      <c r="B40" t="s">
        <v>97</v>
      </c>
      <c r="D40" t="s">
        <v>19</v>
      </c>
      <c r="E40" s="1">
        <v>44330</v>
      </c>
      <c r="F40" s="1">
        <v>44320</v>
      </c>
      <c r="G40">
        <v>10</v>
      </c>
      <c r="H40" s="3">
        <v>311</v>
      </c>
      <c r="I40">
        <v>31.1</v>
      </c>
      <c r="J40" s="1">
        <v>44341</v>
      </c>
      <c r="K40">
        <v>10</v>
      </c>
      <c r="L40">
        <v>275</v>
      </c>
      <c r="M40">
        <v>27.5</v>
      </c>
      <c r="N40">
        <v>0.88400000000000001</v>
      </c>
    </row>
    <row r="41" spans="1:16" hidden="1" x14ac:dyDescent="0.45">
      <c r="A41" t="s">
        <v>98</v>
      </c>
      <c r="B41" t="s">
        <v>99</v>
      </c>
      <c r="C41" t="s">
        <v>405</v>
      </c>
      <c r="D41" t="s">
        <v>85</v>
      </c>
      <c r="E41" s="1">
        <v>44310</v>
      </c>
      <c r="F41" s="1">
        <v>44300</v>
      </c>
      <c r="G41">
        <v>10</v>
      </c>
      <c r="H41">
        <v>38</v>
      </c>
      <c r="I41">
        <v>3.8</v>
      </c>
      <c r="J41" s="1">
        <v>44321</v>
      </c>
      <c r="K41">
        <v>10</v>
      </c>
      <c r="L41">
        <v>8</v>
      </c>
      <c r="M41">
        <v>0.8</v>
      </c>
      <c r="N41">
        <v>0.21099999999999999</v>
      </c>
    </row>
    <row r="42" spans="1:16" hidden="1" x14ac:dyDescent="0.45">
      <c r="A42" t="s">
        <v>100</v>
      </c>
      <c r="B42" t="s">
        <v>101</v>
      </c>
      <c r="C42" t="s">
        <v>405</v>
      </c>
      <c r="D42" t="s">
        <v>23</v>
      </c>
      <c r="E42" t="s">
        <v>24</v>
      </c>
      <c r="F42" t="s">
        <v>25</v>
      </c>
      <c r="G42">
        <v>0</v>
      </c>
      <c r="H42">
        <v>0</v>
      </c>
      <c r="I42" t="s">
        <v>25</v>
      </c>
      <c r="J42" t="s">
        <v>25</v>
      </c>
      <c r="K42">
        <v>0</v>
      </c>
      <c r="L42">
        <v>0</v>
      </c>
      <c r="M42" t="s">
        <v>25</v>
      </c>
      <c r="N42" t="s">
        <v>25</v>
      </c>
      <c r="O42" t="s">
        <v>26</v>
      </c>
      <c r="P42" t="s">
        <v>23</v>
      </c>
    </row>
    <row r="43" spans="1:16" hidden="1" x14ac:dyDescent="0.45">
      <c r="A43" t="s">
        <v>102</v>
      </c>
      <c r="B43" t="s">
        <v>103</v>
      </c>
      <c r="C43" t="s">
        <v>405</v>
      </c>
      <c r="D43" t="s">
        <v>19</v>
      </c>
      <c r="E43" s="1">
        <v>44347</v>
      </c>
      <c r="F43" s="1">
        <v>44337</v>
      </c>
      <c r="G43">
        <v>10</v>
      </c>
      <c r="H43" s="3">
        <v>0</v>
      </c>
      <c r="I43">
        <v>0</v>
      </c>
      <c r="J43" s="1">
        <v>44358</v>
      </c>
      <c r="K43">
        <v>10</v>
      </c>
      <c r="L43">
        <v>0</v>
      </c>
      <c r="M43">
        <v>0</v>
      </c>
      <c r="N43" t="s">
        <v>25</v>
      </c>
    </row>
    <row r="44" spans="1:16" hidden="1" x14ac:dyDescent="0.45">
      <c r="A44" t="s">
        <v>104</v>
      </c>
      <c r="B44" t="s">
        <v>105</v>
      </c>
      <c r="C44" t="s">
        <v>405</v>
      </c>
      <c r="D44" t="s">
        <v>23</v>
      </c>
      <c r="E44" t="s">
        <v>24</v>
      </c>
      <c r="F44" t="s">
        <v>25</v>
      </c>
      <c r="G44">
        <v>0</v>
      </c>
      <c r="H44">
        <v>0</v>
      </c>
      <c r="I44" t="s">
        <v>25</v>
      </c>
      <c r="J44" t="s">
        <v>25</v>
      </c>
      <c r="K44">
        <v>0</v>
      </c>
      <c r="L44">
        <v>0</v>
      </c>
      <c r="M44" t="s">
        <v>25</v>
      </c>
      <c r="N44" t="s">
        <v>25</v>
      </c>
      <c r="O44" t="s">
        <v>106</v>
      </c>
      <c r="P44" t="s">
        <v>23</v>
      </c>
    </row>
    <row r="45" spans="1:16" hidden="1" x14ac:dyDescent="0.45">
      <c r="A45" t="s">
        <v>107</v>
      </c>
      <c r="B45" t="s">
        <v>108</v>
      </c>
      <c r="C45" t="s">
        <v>405</v>
      </c>
      <c r="D45" t="s">
        <v>23</v>
      </c>
      <c r="E45" t="s">
        <v>24</v>
      </c>
      <c r="F45" t="s">
        <v>25</v>
      </c>
      <c r="G45">
        <v>0</v>
      </c>
      <c r="H45">
        <v>0</v>
      </c>
      <c r="I45" t="s">
        <v>25</v>
      </c>
      <c r="J45" t="s">
        <v>25</v>
      </c>
      <c r="K45">
        <v>0</v>
      </c>
      <c r="L45">
        <v>0</v>
      </c>
      <c r="M45" t="s">
        <v>25</v>
      </c>
      <c r="N45" t="s">
        <v>25</v>
      </c>
      <c r="O45" t="s">
        <v>109</v>
      </c>
      <c r="P45" t="s">
        <v>23</v>
      </c>
    </row>
    <row r="46" spans="1:16" hidden="1" x14ac:dyDescent="0.45">
      <c r="A46" t="s">
        <v>110</v>
      </c>
      <c r="B46" t="s">
        <v>111</v>
      </c>
      <c r="C46" t="s">
        <v>405</v>
      </c>
      <c r="D46" s="2" t="s">
        <v>46</v>
      </c>
      <c r="E46" s="1">
        <v>44338</v>
      </c>
      <c r="F46" s="1">
        <v>44328</v>
      </c>
      <c r="G46">
        <v>10</v>
      </c>
      <c r="H46" s="3">
        <v>1</v>
      </c>
      <c r="I46">
        <v>0.1</v>
      </c>
      <c r="J46" s="1">
        <v>44349</v>
      </c>
      <c r="K46">
        <v>10</v>
      </c>
      <c r="L46">
        <v>13</v>
      </c>
      <c r="M46">
        <v>1.3</v>
      </c>
      <c r="N46">
        <v>13</v>
      </c>
    </row>
    <row r="47" spans="1:16" hidden="1" x14ac:dyDescent="0.45">
      <c r="A47" t="s">
        <v>112</v>
      </c>
      <c r="B47" t="s">
        <v>113</v>
      </c>
      <c r="C47" t="s">
        <v>405</v>
      </c>
      <c r="D47" t="s">
        <v>19</v>
      </c>
      <c r="E47" s="1">
        <v>44316</v>
      </c>
      <c r="F47" s="1">
        <v>44313</v>
      </c>
      <c r="G47">
        <v>3</v>
      </c>
      <c r="H47" s="3">
        <v>40</v>
      </c>
      <c r="I47">
        <v>13.333</v>
      </c>
      <c r="J47" s="1">
        <v>44327</v>
      </c>
      <c r="K47">
        <v>10</v>
      </c>
      <c r="L47">
        <v>220</v>
      </c>
      <c r="M47">
        <v>22</v>
      </c>
      <c r="N47">
        <v>1.65</v>
      </c>
    </row>
    <row r="48" spans="1:16" hidden="1" x14ac:dyDescent="0.45">
      <c r="A48" t="s">
        <v>112</v>
      </c>
      <c r="B48" t="s">
        <v>114</v>
      </c>
      <c r="C48" t="s">
        <v>405</v>
      </c>
      <c r="D48" t="s">
        <v>19</v>
      </c>
      <c r="E48" t="s">
        <v>24</v>
      </c>
      <c r="F48" t="s">
        <v>25</v>
      </c>
      <c r="G48">
        <v>0</v>
      </c>
      <c r="H48" s="3">
        <v>0</v>
      </c>
      <c r="I48" t="s">
        <v>25</v>
      </c>
      <c r="J48" t="s">
        <v>25</v>
      </c>
      <c r="K48">
        <v>0</v>
      </c>
      <c r="L48">
        <v>0</v>
      </c>
      <c r="M48" t="s">
        <v>25</v>
      </c>
      <c r="N48" t="s">
        <v>25</v>
      </c>
      <c r="O48" t="s">
        <v>29</v>
      </c>
      <c r="P48" t="s">
        <v>115</v>
      </c>
    </row>
    <row r="49" spans="1:16" hidden="1" x14ac:dyDescent="0.45">
      <c r="A49" t="s">
        <v>116</v>
      </c>
      <c r="B49" t="s">
        <v>117</v>
      </c>
      <c r="C49" t="s">
        <v>405</v>
      </c>
      <c r="D49" t="s">
        <v>118</v>
      </c>
      <c r="E49" t="s">
        <v>24</v>
      </c>
      <c r="F49" t="s">
        <v>25</v>
      </c>
      <c r="G49">
        <v>0</v>
      </c>
      <c r="H49">
        <v>0</v>
      </c>
      <c r="I49" t="s">
        <v>25</v>
      </c>
      <c r="J49" t="s">
        <v>25</v>
      </c>
      <c r="K49">
        <v>0</v>
      </c>
      <c r="L49">
        <v>0</v>
      </c>
      <c r="M49" t="s">
        <v>25</v>
      </c>
      <c r="N49" t="s">
        <v>25</v>
      </c>
      <c r="O49" t="s">
        <v>106</v>
      </c>
      <c r="P49" t="s">
        <v>23</v>
      </c>
    </row>
    <row r="50" spans="1:16" hidden="1" x14ac:dyDescent="0.45">
      <c r="A50" t="s">
        <v>119</v>
      </c>
      <c r="B50" t="s">
        <v>120</v>
      </c>
      <c r="C50" t="s">
        <v>405</v>
      </c>
      <c r="D50" s="2" t="s">
        <v>17</v>
      </c>
      <c r="E50" s="1">
        <v>44347</v>
      </c>
      <c r="F50" s="1">
        <v>44337</v>
      </c>
      <c r="G50">
        <v>10</v>
      </c>
      <c r="H50" s="3">
        <v>41</v>
      </c>
      <c r="I50">
        <v>4.0999999999999996</v>
      </c>
      <c r="J50" s="1">
        <v>44358</v>
      </c>
      <c r="K50">
        <v>10</v>
      </c>
      <c r="L50">
        <v>0</v>
      </c>
      <c r="M50">
        <v>0</v>
      </c>
      <c r="N50">
        <v>0</v>
      </c>
    </row>
    <row r="51" spans="1:16" hidden="1" x14ac:dyDescent="0.45">
      <c r="A51" t="s">
        <v>121</v>
      </c>
      <c r="B51" t="s">
        <v>122</v>
      </c>
      <c r="C51" t="s">
        <v>405</v>
      </c>
      <c r="D51" t="s">
        <v>118</v>
      </c>
      <c r="E51" t="s">
        <v>24</v>
      </c>
      <c r="F51" t="s">
        <v>25</v>
      </c>
      <c r="G51">
        <v>0</v>
      </c>
      <c r="H51">
        <v>0</v>
      </c>
      <c r="I51" t="s">
        <v>25</v>
      </c>
      <c r="J51" t="s">
        <v>25</v>
      </c>
      <c r="K51">
        <v>0</v>
      </c>
      <c r="L51">
        <v>0</v>
      </c>
      <c r="M51" t="s">
        <v>25</v>
      </c>
      <c r="N51" t="s">
        <v>25</v>
      </c>
      <c r="O51" t="s">
        <v>26</v>
      </c>
      <c r="P51" t="s">
        <v>23</v>
      </c>
    </row>
    <row r="52" spans="1:16" x14ac:dyDescent="0.45">
      <c r="A52" t="s">
        <v>123</v>
      </c>
      <c r="B52" t="s">
        <v>124</v>
      </c>
      <c r="D52" t="s">
        <v>19</v>
      </c>
      <c r="E52" s="1">
        <v>44317</v>
      </c>
      <c r="F52" s="1">
        <v>44307</v>
      </c>
      <c r="G52">
        <v>10</v>
      </c>
      <c r="H52" s="3">
        <v>146</v>
      </c>
      <c r="I52">
        <v>14.6</v>
      </c>
      <c r="J52" s="1">
        <v>44328</v>
      </c>
      <c r="K52">
        <v>10</v>
      </c>
      <c r="L52">
        <v>86</v>
      </c>
      <c r="M52">
        <v>8.6</v>
      </c>
      <c r="N52">
        <v>0.58899999999999997</v>
      </c>
    </row>
    <row r="53" spans="1:16" x14ac:dyDescent="0.45">
      <c r="A53" t="s">
        <v>123</v>
      </c>
      <c r="B53" t="s">
        <v>125</v>
      </c>
      <c r="D53" t="s">
        <v>19</v>
      </c>
      <c r="E53" s="1">
        <v>44340</v>
      </c>
      <c r="F53" s="1">
        <v>44330</v>
      </c>
      <c r="G53">
        <v>10</v>
      </c>
      <c r="H53" s="3">
        <v>149</v>
      </c>
      <c r="I53">
        <v>14.9</v>
      </c>
      <c r="J53" s="1">
        <v>44351</v>
      </c>
      <c r="K53">
        <v>10</v>
      </c>
      <c r="L53">
        <v>238</v>
      </c>
      <c r="M53">
        <v>23.8</v>
      </c>
      <c r="N53">
        <v>1.597</v>
      </c>
    </row>
    <row r="54" spans="1:16" x14ac:dyDescent="0.45">
      <c r="A54" t="s">
        <v>126</v>
      </c>
      <c r="B54" t="s">
        <v>127</v>
      </c>
      <c r="D54" s="2" t="s">
        <v>46</v>
      </c>
      <c r="E54" s="1">
        <v>44318</v>
      </c>
      <c r="F54" s="1">
        <v>44308</v>
      </c>
      <c r="G54">
        <v>10</v>
      </c>
      <c r="H54" s="3">
        <v>121</v>
      </c>
      <c r="I54">
        <v>12.1</v>
      </c>
      <c r="J54" s="1">
        <v>44329</v>
      </c>
      <c r="K54">
        <v>10</v>
      </c>
      <c r="L54">
        <v>2</v>
      </c>
      <c r="M54">
        <v>0.2</v>
      </c>
      <c r="N54">
        <v>1.7000000000000001E-2</v>
      </c>
    </row>
    <row r="55" spans="1:16" x14ac:dyDescent="0.45">
      <c r="A55" t="s">
        <v>128</v>
      </c>
      <c r="B55" t="s">
        <v>129</v>
      </c>
      <c r="D55" t="s">
        <v>19</v>
      </c>
      <c r="E55" s="1">
        <v>44316</v>
      </c>
      <c r="F55" s="1">
        <v>44306</v>
      </c>
      <c r="G55">
        <v>10</v>
      </c>
      <c r="H55" s="3">
        <v>157</v>
      </c>
      <c r="I55">
        <v>15.7</v>
      </c>
      <c r="J55" s="1">
        <v>44327</v>
      </c>
      <c r="K55">
        <v>10</v>
      </c>
      <c r="L55">
        <v>94</v>
      </c>
      <c r="M55">
        <v>9.4</v>
      </c>
      <c r="N55">
        <v>0.59899999999999998</v>
      </c>
    </row>
    <row r="56" spans="1:16" hidden="1" x14ac:dyDescent="0.45">
      <c r="A56" t="s">
        <v>130</v>
      </c>
      <c r="B56" t="s">
        <v>131</v>
      </c>
      <c r="C56" t="s">
        <v>405</v>
      </c>
      <c r="D56" t="s">
        <v>85</v>
      </c>
      <c r="E56" s="1">
        <v>44342</v>
      </c>
      <c r="F56" s="1">
        <v>44332</v>
      </c>
      <c r="G56">
        <v>10</v>
      </c>
      <c r="H56">
        <v>259</v>
      </c>
      <c r="I56">
        <v>25.9</v>
      </c>
      <c r="J56" s="1">
        <v>44351</v>
      </c>
      <c r="K56">
        <v>8</v>
      </c>
      <c r="L56">
        <v>62</v>
      </c>
      <c r="M56">
        <v>7.75</v>
      </c>
      <c r="N56">
        <v>0.29899999999999999</v>
      </c>
    </row>
    <row r="57" spans="1:16" hidden="1" x14ac:dyDescent="0.45">
      <c r="A57" t="s">
        <v>132</v>
      </c>
      <c r="B57" t="s">
        <v>133</v>
      </c>
      <c r="C57" t="s">
        <v>405</v>
      </c>
      <c r="D57" t="s">
        <v>19</v>
      </c>
      <c r="E57" t="s">
        <v>24</v>
      </c>
      <c r="F57" t="s">
        <v>25</v>
      </c>
      <c r="G57">
        <v>0</v>
      </c>
      <c r="H57" s="3">
        <v>0</v>
      </c>
      <c r="I57" t="s">
        <v>25</v>
      </c>
      <c r="J57" t="s">
        <v>25</v>
      </c>
      <c r="K57">
        <v>0</v>
      </c>
      <c r="L57">
        <v>0</v>
      </c>
      <c r="M57" t="s">
        <v>25</v>
      </c>
      <c r="N57" t="s">
        <v>25</v>
      </c>
      <c r="O57" t="s">
        <v>134</v>
      </c>
      <c r="P57" t="s">
        <v>115</v>
      </c>
    </row>
    <row r="58" spans="1:16" hidden="1" x14ac:dyDescent="0.45">
      <c r="A58" t="s">
        <v>135</v>
      </c>
      <c r="B58" t="s">
        <v>136</v>
      </c>
      <c r="C58" t="s">
        <v>405</v>
      </c>
      <c r="D58" t="s">
        <v>17</v>
      </c>
      <c r="E58" t="s">
        <v>24</v>
      </c>
      <c r="F58" t="s">
        <v>25</v>
      </c>
      <c r="G58">
        <v>0</v>
      </c>
      <c r="H58" s="3">
        <v>0</v>
      </c>
      <c r="I58" t="s">
        <v>25</v>
      </c>
      <c r="J58" t="s">
        <v>25</v>
      </c>
      <c r="K58">
        <v>0</v>
      </c>
      <c r="L58">
        <v>0</v>
      </c>
      <c r="M58" t="s">
        <v>25</v>
      </c>
      <c r="N58" t="s">
        <v>25</v>
      </c>
      <c r="O58" t="s">
        <v>137</v>
      </c>
      <c r="P58">
        <v>1000</v>
      </c>
    </row>
    <row r="59" spans="1:16" hidden="1" x14ac:dyDescent="0.45">
      <c r="A59" t="s">
        <v>138</v>
      </c>
      <c r="B59" t="s">
        <v>139</v>
      </c>
      <c r="C59" t="s">
        <v>405</v>
      </c>
      <c r="D59" t="s">
        <v>85</v>
      </c>
      <c r="E59" s="1">
        <v>44334</v>
      </c>
      <c r="F59" s="1">
        <v>44324</v>
      </c>
      <c r="G59">
        <v>10</v>
      </c>
      <c r="H59">
        <v>209</v>
      </c>
      <c r="I59">
        <v>20.9</v>
      </c>
      <c r="J59" s="1">
        <v>44336</v>
      </c>
      <c r="K59">
        <v>1</v>
      </c>
      <c r="L59">
        <v>0</v>
      </c>
      <c r="M59">
        <v>0</v>
      </c>
      <c r="N59">
        <v>0</v>
      </c>
    </row>
    <row r="60" spans="1:16" x14ac:dyDescent="0.45">
      <c r="A60" t="s">
        <v>140</v>
      </c>
      <c r="B60" t="s">
        <v>141</v>
      </c>
      <c r="D60" t="s">
        <v>19</v>
      </c>
      <c r="E60" s="1">
        <v>44318</v>
      </c>
      <c r="F60" s="1">
        <v>44308</v>
      </c>
      <c r="G60">
        <v>10</v>
      </c>
      <c r="H60" s="3">
        <v>311</v>
      </c>
      <c r="I60">
        <v>31.1</v>
      </c>
      <c r="J60" s="1">
        <v>44329</v>
      </c>
      <c r="K60">
        <v>10</v>
      </c>
      <c r="L60">
        <v>253</v>
      </c>
      <c r="M60">
        <v>25.3</v>
      </c>
      <c r="N60">
        <v>0.81399999999999995</v>
      </c>
    </row>
    <row r="61" spans="1:16" hidden="1" x14ac:dyDescent="0.45">
      <c r="A61" t="s">
        <v>142</v>
      </c>
      <c r="B61" t="s">
        <v>143</v>
      </c>
      <c r="C61" t="s">
        <v>405</v>
      </c>
      <c r="D61" t="s">
        <v>23</v>
      </c>
      <c r="E61" t="s">
        <v>24</v>
      </c>
      <c r="F61" t="s">
        <v>25</v>
      </c>
      <c r="G61">
        <v>0</v>
      </c>
      <c r="H61">
        <v>0</v>
      </c>
      <c r="I61" t="s">
        <v>25</v>
      </c>
      <c r="J61" t="s">
        <v>25</v>
      </c>
      <c r="K61">
        <v>0</v>
      </c>
      <c r="L61">
        <v>0</v>
      </c>
      <c r="M61" t="s">
        <v>25</v>
      </c>
      <c r="N61" t="s">
        <v>25</v>
      </c>
      <c r="O61" t="s">
        <v>23</v>
      </c>
      <c r="P61" t="s">
        <v>23</v>
      </c>
    </row>
    <row r="62" spans="1:16" hidden="1" x14ac:dyDescent="0.45">
      <c r="A62" t="s">
        <v>144</v>
      </c>
      <c r="B62" t="s">
        <v>145</v>
      </c>
      <c r="C62" t="s">
        <v>405</v>
      </c>
      <c r="D62" t="s">
        <v>85</v>
      </c>
      <c r="E62" s="1">
        <v>44314</v>
      </c>
      <c r="F62" s="1">
        <v>44304</v>
      </c>
      <c r="G62">
        <v>10</v>
      </c>
      <c r="H62">
        <v>60</v>
      </c>
      <c r="I62">
        <v>6</v>
      </c>
      <c r="J62" s="1">
        <v>44322</v>
      </c>
      <c r="K62">
        <v>7</v>
      </c>
      <c r="L62">
        <v>56</v>
      </c>
      <c r="M62">
        <v>8</v>
      </c>
      <c r="N62">
        <v>1.333</v>
      </c>
    </row>
    <row r="63" spans="1:16" x14ac:dyDescent="0.45">
      <c r="A63" t="s">
        <v>146</v>
      </c>
      <c r="B63" t="s">
        <v>147</v>
      </c>
      <c r="D63" s="2" t="s">
        <v>17</v>
      </c>
      <c r="E63" s="1">
        <v>44362</v>
      </c>
      <c r="F63" s="1">
        <v>44352</v>
      </c>
      <c r="G63">
        <v>10</v>
      </c>
      <c r="H63" s="3">
        <v>133</v>
      </c>
      <c r="I63">
        <v>13.3</v>
      </c>
      <c r="J63" s="1">
        <v>44373</v>
      </c>
      <c r="K63">
        <v>10</v>
      </c>
      <c r="L63">
        <v>10</v>
      </c>
      <c r="M63">
        <v>1</v>
      </c>
      <c r="N63">
        <v>7.4999999999999997E-2</v>
      </c>
    </row>
    <row r="64" spans="1:16" hidden="1" x14ac:dyDescent="0.45">
      <c r="A64" t="s">
        <v>148</v>
      </c>
      <c r="B64" t="s">
        <v>149</v>
      </c>
      <c r="C64" t="s">
        <v>405</v>
      </c>
      <c r="D64" t="s">
        <v>19</v>
      </c>
      <c r="E64" s="1">
        <v>44359</v>
      </c>
      <c r="F64" s="1">
        <v>44350</v>
      </c>
      <c r="G64">
        <v>9</v>
      </c>
      <c r="H64" s="3">
        <v>27</v>
      </c>
      <c r="I64">
        <v>3</v>
      </c>
      <c r="J64" s="1">
        <v>44370</v>
      </c>
      <c r="K64">
        <v>10</v>
      </c>
      <c r="L64">
        <v>177</v>
      </c>
      <c r="M64">
        <v>17.7</v>
      </c>
      <c r="N64">
        <v>5.9</v>
      </c>
    </row>
    <row r="65" spans="1:16" x14ac:dyDescent="0.45">
      <c r="A65" t="s">
        <v>150</v>
      </c>
      <c r="B65" t="s">
        <v>151</v>
      </c>
      <c r="D65" t="s">
        <v>19</v>
      </c>
      <c r="E65" s="1">
        <v>44330</v>
      </c>
      <c r="F65" s="1">
        <v>44320</v>
      </c>
      <c r="G65">
        <v>10</v>
      </c>
      <c r="H65" s="3">
        <v>160</v>
      </c>
      <c r="I65">
        <v>16</v>
      </c>
      <c r="J65" s="1">
        <v>44341</v>
      </c>
      <c r="K65">
        <v>10</v>
      </c>
      <c r="L65">
        <v>41</v>
      </c>
      <c r="M65">
        <v>4.0999999999999996</v>
      </c>
      <c r="N65">
        <v>0.25600000000000001</v>
      </c>
    </row>
    <row r="66" spans="1:16" x14ac:dyDescent="0.45">
      <c r="A66" t="s">
        <v>152</v>
      </c>
      <c r="B66" t="s">
        <v>153</v>
      </c>
      <c r="D66" t="s">
        <v>19</v>
      </c>
      <c r="E66" s="1">
        <v>44665</v>
      </c>
      <c r="F66" s="1">
        <v>44655</v>
      </c>
      <c r="G66">
        <v>10</v>
      </c>
      <c r="H66" s="3">
        <v>52</v>
      </c>
      <c r="I66">
        <v>5.2</v>
      </c>
      <c r="J66" s="1">
        <v>44676</v>
      </c>
      <c r="K66">
        <v>10</v>
      </c>
      <c r="L66">
        <v>116</v>
      </c>
      <c r="M66">
        <v>11.6</v>
      </c>
      <c r="N66">
        <v>2.2309999999999999</v>
      </c>
    </row>
    <row r="67" spans="1:16" hidden="1" x14ac:dyDescent="0.45">
      <c r="A67" t="s">
        <v>154</v>
      </c>
      <c r="B67" t="s">
        <v>155</v>
      </c>
      <c r="C67" t="s">
        <v>405</v>
      </c>
      <c r="D67" t="s">
        <v>118</v>
      </c>
      <c r="E67" t="s">
        <v>24</v>
      </c>
      <c r="F67" t="s">
        <v>25</v>
      </c>
      <c r="G67">
        <v>0</v>
      </c>
      <c r="H67">
        <v>0</v>
      </c>
      <c r="I67" t="s">
        <v>25</v>
      </c>
      <c r="J67" t="s">
        <v>25</v>
      </c>
      <c r="K67">
        <v>0</v>
      </c>
      <c r="L67">
        <v>0</v>
      </c>
      <c r="M67" t="s">
        <v>25</v>
      </c>
      <c r="N67" t="s">
        <v>25</v>
      </c>
      <c r="O67" t="s">
        <v>41</v>
      </c>
      <c r="P67">
        <v>4000</v>
      </c>
    </row>
    <row r="68" spans="1:16" hidden="1" x14ac:dyDescent="0.45">
      <c r="A68" t="s">
        <v>156</v>
      </c>
      <c r="B68" t="s">
        <v>157</v>
      </c>
      <c r="C68" t="s">
        <v>405</v>
      </c>
      <c r="D68" t="s">
        <v>19</v>
      </c>
      <c r="E68" s="1">
        <v>44712</v>
      </c>
      <c r="F68" s="1">
        <v>44702</v>
      </c>
      <c r="G68">
        <v>10</v>
      </c>
      <c r="H68" s="3">
        <v>17</v>
      </c>
      <c r="I68">
        <v>1.7</v>
      </c>
      <c r="J68" s="1">
        <v>44723</v>
      </c>
      <c r="K68">
        <v>10</v>
      </c>
      <c r="L68">
        <v>29</v>
      </c>
      <c r="M68">
        <v>2.9</v>
      </c>
      <c r="N68">
        <v>1.706</v>
      </c>
    </row>
    <row r="69" spans="1:16" x14ac:dyDescent="0.45">
      <c r="A69" t="s">
        <v>158</v>
      </c>
      <c r="B69" t="s">
        <v>159</v>
      </c>
      <c r="D69" s="2" t="s">
        <v>46</v>
      </c>
      <c r="E69" s="1">
        <v>44704</v>
      </c>
      <c r="F69" s="1">
        <v>44694</v>
      </c>
      <c r="G69">
        <v>10</v>
      </c>
      <c r="H69" s="3">
        <v>234</v>
      </c>
      <c r="I69">
        <v>23.4</v>
      </c>
      <c r="J69" s="1">
        <v>44715</v>
      </c>
      <c r="K69">
        <v>10</v>
      </c>
      <c r="L69">
        <v>50</v>
      </c>
      <c r="M69">
        <v>5</v>
      </c>
      <c r="N69">
        <v>0.214</v>
      </c>
    </row>
    <row r="70" spans="1:16" hidden="1" x14ac:dyDescent="0.45">
      <c r="A70" t="s">
        <v>160</v>
      </c>
      <c r="B70" t="s">
        <v>161</v>
      </c>
      <c r="C70" t="s">
        <v>405</v>
      </c>
      <c r="D70" t="s">
        <v>118</v>
      </c>
      <c r="E70" t="s">
        <v>24</v>
      </c>
      <c r="F70" t="s">
        <v>25</v>
      </c>
      <c r="G70">
        <v>0</v>
      </c>
      <c r="H70">
        <v>0</v>
      </c>
      <c r="I70" t="s">
        <v>25</v>
      </c>
      <c r="J70" t="s">
        <v>25</v>
      </c>
      <c r="K70">
        <v>0</v>
      </c>
      <c r="L70">
        <v>0</v>
      </c>
      <c r="M70" t="s">
        <v>25</v>
      </c>
      <c r="N70" t="s">
        <v>25</v>
      </c>
      <c r="O70" t="s">
        <v>162</v>
      </c>
      <c r="P70">
        <v>0</v>
      </c>
    </row>
    <row r="71" spans="1:16" x14ac:dyDescent="0.45">
      <c r="A71" t="s">
        <v>163</v>
      </c>
      <c r="B71" t="s">
        <v>164</v>
      </c>
      <c r="D71" t="s">
        <v>19</v>
      </c>
      <c r="E71" s="1">
        <v>44702</v>
      </c>
      <c r="F71" s="1">
        <v>44692</v>
      </c>
      <c r="G71">
        <v>10</v>
      </c>
      <c r="H71" s="3">
        <v>731</v>
      </c>
      <c r="I71">
        <v>73.099999999999994</v>
      </c>
      <c r="J71" s="1">
        <v>44713</v>
      </c>
      <c r="K71">
        <v>10</v>
      </c>
      <c r="L71">
        <v>588</v>
      </c>
      <c r="M71">
        <v>58.8</v>
      </c>
      <c r="N71">
        <v>0.80400000000000005</v>
      </c>
    </row>
    <row r="72" spans="1:16" x14ac:dyDescent="0.45">
      <c r="A72" t="s">
        <v>165</v>
      </c>
      <c r="B72" t="s">
        <v>166</v>
      </c>
      <c r="D72" t="s">
        <v>19</v>
      </c>
      <c r="E72" s="1">
        <v>44666</v>
      </c>
      <c r="F72" s="1">
        <v>44656</v>
      </c>
      <c r="G72">
        <v>10</v>
      </c>
      <c r="H72" s="3">
        <v>242</v>
      </c>
      <c r="I72">
        <v>24.2</v>
      </c>
      <c r="J72" s="1">
        <v>44677</v>
      </c>
      <c r="K72">
        <v>10</v>
      </c>
      <c r="L72">
        <v>269</v>
      </c>
      <c r="M72">
        <v>26.9</v>
      </c>
      <c r="N72">
        <v>1.1120000000000001</v>
      </c>
    </row>
    <row r="73" spans="1:16" hidden="1" x14ac:dyDescent="0.45">
      <c r="A73" t="s">
        <v>167</v>
      </c>
      <c r="B73" t="s">
        <v>168</v>
      </c>
      <c r="C73" t="s">
        <v>405</v>
      </c>
      <c r="D73" t="s">
        <v>23</v>
      </c>
      <c r="E73" t="s">
        <v>24</v>
      </c>
      <c r="F73" t="s">
        <v>25</v>
      </c>
      <c r="G73">
        <v>0</v>
      </c>
      <c r="H73">
        <v>0</v>
      </c>
      <c r="I73" t="s">
        <v>25</v>
      </c>
      <c r="J73" t="s">
        <v>25</v>
      </c>
      <c r="K73">
        <v>0</v>
      </c>
      <c r="L73">
        <v>0</v>
      </c>
      <c r="M73" t="s">
        <v>25</v>
      </c>
      <c r="N73" t="s">
        <v>25</v>
      </c>
      <c r="O73" t="s">
        <v>115</v>
      </c>
      <c r="P73" t="s">
        <v>115</v>
      </c>
    </row>
    <row r="74" spans="1:16" x14ac:dyDescent="0.45">
      <c r="A74" t="s">
        <v>169</v>
      </c>
      <c r="B74" t="s">
        <v>170</v>
      </c>
      <c r="D74" t="s">
        <v>19</v>
      </c>
      <c r="E74" s="1">
        <v>44663</v>
      </c>
      <c r="F74" s="1">
        <v>44653</v>
      </c>
      <c r="G74">
        <v>10</v>
      </c>
      <c r="H74" s="3">
        <v>125</v>
      </c>
      <c r="I74">
        <v>12.5</v>
      </c>
      <c r="J74" s="1">
        <v>44674</v>
      </c>
      <c r="K74">
        <v>10</v>
      </c>
      <c r="L74">
        <v>23</v>
      </c>
      <c r="M74">
        <v>2.2999999999999998</v>
      </c>
      <c r="N74">
        <v>0.184</v>
      </c>
    </row>
    <row r="75" spans="1:16" hidden="1" x14ac:dyDescent="0.45">
      <c r="A75" t="s">
        <v>169</v>
      </c>
      <c r="B75" t="s">
        <v>171</v>
      </c>
      <c r="C75" t="s">
        <v>405</v>
      </c>
      <c r="D75" t="s">
        <v>19</v>
      </c>
      <c r="E75" s="1">
        <v>44698</v>
      </c>
      <c r="F75" s="1">
        <v>44688</v>
      </c>
      <c r="G75">
        <v>10</v>
      </c>
      <c r="H75" s="3">
        <v>2</v>
      </c>
      <c r="I75">
        <v>0.2</v>
      </c>
      <c r="J75" s="1">
        <v>44709</v>
      </c>
      <c r="K75">
        <v>10</v>
      </c>
      <c r="L75">
        <v>9</v>
      </c>
      <c r="M75">
        <v>0.9</v>
      </c>
      <c r="N75">
        <v>4.5</v>
      </c>
    </row>
    <row r="76" spans="1:16" hidden="1" x14ac:dyDescent="0.45">
      <c r="A76" t="s">
        <v>172</v>
      </c>
      <c r="B76" t="s">
        <v>173</v>
      </c>
      <c r="C76" t="s">
        <v>405</v>
      </c>
      <c r="D76" t="s">
        <v>19</v>
      </c>
      <c r="E76" s="1">
        <v>44666</v>
      </c>
      <c r="F76" s="1">
        <v>44656</v>
      </c>
      <c r="G76">
        <v>10</v>
      </c>
      <c r="H76" s="3">
        <v>0</v>
      </c>
      <c r="I76">
        <v>0</v>
      </c>
      <c r="J76" s="1">
        <v>44677</v>
      </c>
      <c r="K76">
        <v>10</v>
      </c>
      <c r="L76">
        <v>5</v>
      </c>
      <c r="M76">
        <v>0.5</v>
      </c>
      <c r="N76" t="s">
        <v>25</v>
      </c>
    </row>
    <row r="77" spans="1:16" x14ac:dyDescent="0.45">
      <c r="A77" t="s">
        <v>172</v>
      </c>
      <c r="B77" t="s">
        <v>174</v>
      </c>
      <c r="D77" t="s">
        <v>19</v>
      </c>
      <c r="E77" s="1">
        <v>44709</v>
      </c>
      <c r="F77" s="1">
        <v>44699</v>
      </c>
      <c r="G77">
        <v>10</v>
      </c>
      <c r="H77" s="3">
        <v>67</v>
      </c>
      <c r="I77">
        <v>6.7</v>
      </c>
      <c r="J77" s="1">
        <v>44720</v>
      </c>
      <c r="K77">
        <v>10</v>
      </c>
      <c r="L77">
        <v>37</v>
      </c>
      <c r="M77">
        <v>3.7</v>
      </c>
      <c r="N77">
        <v>0.55200000000000005</v>
      </c>
    </row>
    <row r="78" spans="1:16" x14ac:dyDescent="0.45">
      <c r="A78" t="s">
        <v>175</v>
      </c>
      <c r="B78" t="s">
        <v>176</v>
      </c>
      <c r="D78" t="s">
        <v>19</v>
      </c>
      <c r="E78" s="1">
        <v>44670</v>
      </c>
      <c r="F78" s="1">
        <v>44666</v>
      </c>
      <c r="G78">
        <v>4</v>
      </c>
      <c r="H78" s="3">
        <v>104</v>
      </c>
      <c r="I78">
        <v>26</v>
      </c>
      <c r="J78" s="1">
        <v>44681</v>
      </c>
      <c r="K78">
        <v>10</v>
      </c>
      <c r="L78">
        <v>262</v>
      </c>
      <c r="M78">
        <v>26.2</v>
      </c>
      <c r="N78">
        <v>1.008</v>
      </c>
    </row>
    <row r="79" spans="1:16" hidden="1" x14ac:dyDescent="0.45">
      <c r="A79" t="s">
        <v>177</v>
      </c>
      <c r="B79" t="s">
        <v>178</v>
      </c>
      <c r="C79" t="s">
        <v>405</v>
      </c>
      <c r="D79" t="s">
        <v>118</v>
      </c>
      <c r="E79" t="s">
        <v>24</v>
      </c>
      <c r="F79" t="s">
        <v>25</v>
      </c>
      <c r="G79">
        <v>0</v>
      </c>
      <c r="H79">
        <v>0</v>
      </c>
      <c r="I79" t="s">
        <v>25</v>
      </c>
      <c r="J79" t="s">
        <v>25</v>
      </c>
      <c r="K79">
        <v>0</v>
      </c>
      <c r="L79">
        <v>0</v>
      </c>
      <c r="M79" t="s">
        <v>25</v>
      </c>
      <c r="N79" t="s">
        <v>25</v>
      </c>
      <c r="O79" t="s">
        <v>106</v>
      </c>
      <c r="P79" t="s">
        <v>23</v>
      </c>
    </row>
    <row r="80" spans="1:16" hidden="1" x14ac:dyDescent="0.45">
      <c r="A80" t="s">
        <v>179</v>
      </c>
      <c r="B80" t="s">
        <v>180</v>
      </c>
      <c r="C80" t="s">
        <v>405</v>
      </c>
      <c r="D80" t="s">
        <v>19</v>
      </c>
      <c r="E80" t="s">
        <v>32</v>
      </c>
      <c r="F80" t="s">
        <v>25</v>
      </c>
      <c r="G80">
        <v>0</v>
      </c>
      <c r="H80" s="3">
        <v>0</v>
      </c>
      <c r="I80" t="s">
        <v>25</v>
      </c>
      <c r="J80" t="s">
        <v>25</v>
      </c>
      <c r="K80">
        <v>0</v>
      </c>
      <c r="L80">
        <v>0</v>
      </c>
      <c r="M80" t="s">
        <v>25</v>
      </c>
      <c r="N80" t="s">
        <v>25</v>
      </c>
      <c r="O80" t="s">
        <v>181</v>
      </c>
      <c r="P80">
        <v>500</v>
      </c>
    </row>
    <row r="81" spans="1:16" hidden="1" x14ac:dyDescent="0.45">
      <c r="A81" t="s">
        <v>182</v>
      </c>
      <c r="B81" t="s">
        <v>183</v>
      </c>
      <c r="C81" t="s">
        <v>405</v>
      </c>
      <c r="D81" t="s">
        <v>19</v>
      </c>
      <c r="E81" s="1">
        <v>44683</v>
      </c>
      <c r="F81" s="1">
        <v>44673</v>
      </c>
      <c r="G81">
        <v>10</v>
      </c>
      <c r="H81" s="3">
        <v>30</v>
      </c>
      <c r="I81">
        <v>3</v>
      </c>
      <c r="J81" s="1">
        <v>44694</v>
      </c>
      <c r="K81">
        <v>10</v>
      </c>
      <c r="L81">
        <v>51</v>
      </c>
      <c r="M81">
        <v>5.0999999999999996</v>
      </c>
      <c r="N81">
        <v>1.7</v>
      </c>
    </row>
    <row r="82" spans="1:16" hidden="1" x14ac:dyDescent="0.45">
      <c r="A82" t="s">
        <v>184</v>
      </c>
      <c r="B82" t="s">
        <v>185</v>
      </c>
      <c r="C82" t="s">
        <v>405</v>
      </c>
      <c r="D82" t="s">
        <v>23</v>
      </c>
      <c r="E82" t="s">
        <v>24</v>
      </c>
      <c r="F82" t="s">
        <v>25</v>
      </c>
      <c r="G82">
        <v>0</v>
      </c>
      <c r="H82">
        <v>0</v>
      </c>
      <c r="I82" t="s">
        <v>25</v>
      </c>
      <c r="J82" t="s">
        <v>25</v>
      </c>
      <c r="K82">
        <v>0</v>
      </c>
      <c r="L82">
        <v>0</v>
      </c>
      <c r="M82" t="s">
        <v>25</v>
      </c>
      <c r="N82" t="s">
        <v>25</v>
      </c>
      <c r="O82" t="s">
        <v>186</v>
      </c>
      <c r="P82">
        <v>50</v>
      </c>
    </row>
    <row r="83" spans="1:16" hidden="1" x14ac:dyDescent="0.45">
      <c r="A83" t="s">
        <v>187</v>
      </c>
      <c r="B83" t="s">
        <v>188</v>
      </c>
      <c r="C83" t="s">
        <v>405</v>
      </c>
      <c r="D83" t="s">
        <v>19</v>
      </c>
      <c r="E83" s="1">
        <v>44697</v>
      </c>
      <c r="F83" s="1">
        <v>44687</v>
      </c>
      <c r="G83">
        <v>10</v>
      </c>
      <c r="H83" s="3">
        <v>6</v>
      </c>
      <c r="I83">
        <v>0.6</v>
      </c>
      <c r="J83" s="1">
        <v>44708</v>
      </c>
      <c r="K83">
        <v>10</v>
      </c>
      <c r="L83">
        <v>0</v>
      </c>
      <c r="M83">
        <v>0</v>
      </c>
      <c r="N83">
        <v>0</v>
      </c>
    </row>
    <row r="84" spans="1:16" hidden="1" x14ac:dyDescent="0.45">
      <c r="A84" t="s">
        <v>189</v>
      </c>
      <c r="B84" t="s">
        <v>190</v>
      </c>
      <c r="C84" t="s">
        <v>405</v>
      </c>
      <c r="D84" t="s">
        <v>19</v>
      </c>
      <c r="E84" s="1">
        <v>44673</v>
      </c>
      <c r="F84" s="1">
        <v>44663</v>
      </c>
      <c r="G84">
        <v>10</v>
      </c>
      <c r="H84" s="3">
        <v>31</v>
      </c>
      <c r="I84">
        <v>3.1</v>
      </c>
      <c r="J84" s="1">
        <v>44684</v>
      </c>
      <c r="K84">
        <v>10</v>
      </c>
      <c r="L84">
        <v>34</v>
      </c>
      <c r="M84">
        <v>3.4</v>
      </c>
      <c r="N84">
        <v>1.097</v>
      </c>
    </row>
    <row r="85" spans="1:16" x14ac:dyDescent="0.45">
      <c r="A85" t="s">
        <v>191</v>
      </c>
      <c r="B85" t="s">
        <v>192</v>
      </c>
      <c r="D85" t="s">
        <v>19</v>
      </c>
      <c r="E85" s="1">
        <v>44671</v>
      </c>
      <c r="F85" s="1">
        <v>44661</v>
      </c>
      <c r="G85">
        <v>10</v>
      </c>
      <c r="H85" s="3">
        <v>98</v>
      </c>
      <c r="I85">
        <v>9.8000000000000007</v>
      </c>
      <c r="J85" s="1">
        <v>44682</v>
      </c>
      <c r="K85">
        <v>10</v>
      </c>
      <c r="L85">
        <v>148</v>
      </c>
      <c r="M85">
        <v>14.8</v>
      </c>
      <c r="N85">
        <v>1.51</v>
      </c>
    </row>
    <row r="86" spans="1:16" hidden="1" x14ac:dyDescent="0.45">
      <c r="A86" t="s">
        <v>193</v>
      </c>
      <c r="B86" t="s">
        <v>194</v>
      </c>
      <c r="C86" t="s">
        <v>405</v>
      </c>
      <c r="D86" t="s">
        <v>23</v>
      </c>
      <c r="E86" t="s">
        <v>24</v>
      </c>
      <c r="F86" t="s">
        <v>25</v>
      </c>
      <c r="G86">
        <v>0</v>
      </c>
      <c r="H86">
        <v>0</v>
      </c>
      <c r="I86" t="s">
        <v>25</v>
      </c>
      <c r="J86" t="s">
        <v>25</v>
      </c>
      <c r="K86">
        <v>0</v>
      </c>
      <c r="L86">
        <v>0</v>
      </c>
      <c r="M86" t="s">
        <v>25</v>
      </c>
      <c r="N86" t="s">
        <v>25</v>
      </c>
      <c r="O86" t="s">
        <v>115</v>
      </c>
      <c r="P86" t="s">
        <v>115</v>
      </c>
    </row>
    <row r="87" spans="1:16" x14ac:dyDescent="0.45">
      <c r="A87" t="s">
        <v>195</v>
      </c>
      <c r="B87" t="s">
        <v>196</v>
      </c>
      <c r="D87" t="s">
        <v>19</v>
      </c>
      <c r="E87" s="1">
        <v>44671</v>
      </c>
      <c r="F87" s="1">
        <v>44665</v>
      </c>
      <c r="G87">
        <v>6</v>
      </c>
      <c r="H87" s="3">
        <v>95</v>
      </c>
      <c r="I87">
        <v>15.833</v>
      </c>
      <c r="J87" s="1">
        <v>44682</v>
      </c>
      <c r="K87">
        <v>10</v>
      </c>
      <c r="L87">
        <v>145</v>
      </c>
      <c r="M87">
        <v>14.5</v>
      </c>
      <c r="N87">
        <v>0.91600000000000004</v>
      </c>
    </row>
    <row r="88" spans="1:16" hidden="1" x14ac:dyDescent="0.45">
      <c r="A88" t="s">
        <v>197</v>
      </c>
      <c r="B88" t="s">
        <v>198</v>
      </c>
      <c r="C88" t="s">
        <v>405</v>
      </c>
      <c r="D88" t="s">
        <v>19</v>
      </c>
      <c r="E88" t="s">
        <v>32</v>
      </c>
      <c r="F88" t="s">
        <v>25</v>
      </c>
      <c r="G88">
        <v>0</v>
      </c>
      <c r="H88" s="3">
        <v>0</v>
      </c>
      <c r="I88" t="s">
        <v>25</v>
      </c>
      <c r="J88" t="s">
        <v>25</v>
      </c>
      <c r="K88">
        <v>0</v>
      </c>
      <c r="L88">
        <v>0</v>
      </c>
      <c r="M88" t="s">
        <v>25</v>
      </c>
      <c r="N88" t="s">
        <v>25</v>
      </c>
      <c r="O88" t="s">
        <v>29</v>
      </c>
      <c r="P88">
        <v>9000</v>
      </c>
    </row>
    <row r="89" spans="1:16" x14ac:dyDescent="0.45">
      <c r="A89" t="s">
        <v>197</v>
      </c>
      <c r="B89" t="s">
        <v>199</v>
      </c>
      <c r="D89" t="s">
        <v>19</v>
      </c>
      <c r="E89" s="1">
        <v>44703</v>
      </c>
      <c r="F89" s="1">
        <v>44693</v>
      </c>
      <c r="G89">
        <v>10</v>
      </c>
      <c r="H89" s="3">
        <v>98</v>
      </c>
      <c r="I89">
        <v>9.8000000000000007</v>
      </c>
      <c r="J89" s="1">
        <v>44714</v>
      </c>
      <c r="K89">
        <v>10</v>
      </c>
      <c r="L89">
        <v>493</v>
      </c>
      <c r="M89">
        <v>49.3</v>
      </c>
      <c r="N89">
        <v>5.0309999999999997</v>
      </c>
    </row>
    <row r="90" spans="1:16" x14ac:dyDescent="0.45">
      <c r="A90" t="s">
        <v>200</v>
      </c>
      <c r="B90" t="s">
        <v>201</v>
      </c>
      <c r="D90" t="s">
        <v>19</v>
      </c>
      <c r="E90" s="1">
        <v>44681</v>
      </c>
      <c r="F90" s="1">
        <v>44671</v>
      </c>
      <c r="G90">
        <v>10</v>
      </c>
      <c r="H90" s="3">
        <v>61</v>
      </c>
      <c r="I90">
        <v>6.1</v>
      </c>
      <c r="J90" s="1">
        <v>44692</v>
      </c>
      <c r="K90">
        <v>10</v>
      </c>
      <c r="L90">
        <v>186</v>
      </c>
      <c r="M90">
        <v>18.600000000000001</v>
      </c>
      <c r="N90">
        <v>3.0489999999999999</v>
      </c>
    </row>
    <row r="91" spans="1:16" hidden="1" x14ac:dyDescent="0.45">
      <c r="A91" t="s">
        <v>202</v>
      </c>
      <c r="B91" t="s">
        <v>203</v>
      </c>
      <c r="C91" t="s">
        <v>405</v>
      </c>
      <c r="D91" t="s">
        <v>19</v>
      </c>
      <c r="E91" t="s">
        <v>32</v>
      </c>
      <c r="F91" t="s">
        <v>25</v>
      </c>
      <c r="G91">
        <v>0</v>
      </c>
      <c r="H91" s="3">
        <v>0</v>
      </c>
      <c r="I91" t="s">
        <v>25</v>
      </c>
      <c r="J91" t="s">
        <v>25</v>
      </c>
      <c r="K91">
        <v>0</v>
      </c>
      <c r="L91">
        <v>0</v>
      </c>
      <c r="M91" t="s">
        <v>25</v>
      </c>
      <c r="N91" t="s">
        <v>25</v>
      </c>
      <c r="O91" t="s">
        <v>204</v>
      </c>
      <c r="P91" t="s">
        <v>115</v>
      </c>
    </row>
    <row r="92" spans="1:16" hidden="1" x14ac:dyDescent="0.45">
      <c r="A92" t="s">
        <v>205</v>
      </c>
      <c r="B92" t="s">
        <v>206</v>
      </c>
      <c r="C92" t="s">
        <v>405</v>
      </c>
      <c r="D92" t="s">
        <v>19</v>
      </c>
      <c r="E92" t="s">
        <v>32</v>
      </c>
      <c r="F92" t="s">
        <v>25</v>
      </c>
      <c r="G92">
        <v>0</v>
      </c>
      <c r="H92" s="3">
        <v>0</v>
      </c>
      <c r="I92" t="s">
        <v>25</v>
      </c>
      <c r="J92" t="s">
        <v>25</v>
      </c>
      <c r="K92">
        <v>0</v>
      </c>
      <c r="L92">
        <v>0</v>
      </c>
      <c r="M92" t="s">
        <v>25</v>
      </c>
      <c r="N92" t="s">
        <v>25</v>
      </c>
      <c r="O92" t="s">
        <v>207</v>
      </c>
      <c r="P92" t="s">
        <v>115</v>
      </c>
    </row>
    <row r="93" spans="1:16" hidden="1" x14ac:dyDescent="0.45">
      <c r="A93" t="s">
        <v>208</v>
      </c>
      <c r="B93" t="s">
        <v>209</v>
      </c>
      <c r="C93" t="s">
        <v>405</v>
      </c>
      <c r="D93" t="s">
        <v>19</v>
      </c>
      <c r="E93" s="1">
        <v>44664</v>
      </c>
      <c r="F93" s="1">
        <v>44654</v>
      </c>
      <c r="G93">
        <v>10</v>
      </c>
      <c r="H93" s="3">
        <v>2</v>
      </c>
      <c r="I93">
        <v>0.2</v>
      </c>
      <c r="J93" s="1">
        <v>44675</v>
      </c>
      <c r="K93">
        <v>10</v>
      </c>
      <c r="L93">
        <v>29</v>
      </c>
      <c r="M93">
        <v>2.9</v>
      </c>
      <c r="N93">
        <v>14.5</v>
      </c>
    </row>
    <row r="94" spans="1:16" hidden="1" x14ac:dyDescent="0.45">
      <c r="A94" t="s">
        <v>210</v>
      </c>
      <c r="B94" t="s">
        <v>211</v>
      </c>
      <c r="C94" t="s">
        <v>405</v>
      </c>
      <c r="D94" t="s">
        <v>19</v>
      </c>
      <c r="E94" s="1">
        <v>44665</v>
      </c>
      <c r="F94" s="1">
        <v>44655</v>
      </c>
      <c r="G94">
        <v>10</v>
      </c>
      <c r="H94" s="3">
        <v>42</v>
      </c>
      <c r="I94">
        <v>4.2</v>
      </c>
      <c r="J94" s="1">
        <v>44676</v>
      </c>
      <c r="K94">
        <v>10</v>
      </c>
      <c r="L94">
        <v>229</v>
      </c>
      <c r="M94">
        <v>22.9</v>
      </c>
      <c r="N94">
        <v>5.452</v>
      </c>
    </row>
    <row r="95" spans="1:16" hidden="1" x14ac:dyDescent="0.45">
      <c r="A95" t="s">
        <v>210</v>
      </c>
      <c r="B95" t="s">
        <v>212</v>
      </c>
      <c r="C95" t="s">
        <v>405</v>
      </c>
      <c r="D95" t="s">
        <v>19</v>
      </c>
      <c r="E95" s="1">
        <v>44703</v>
      </c>
      <c r="F95" s="1">
        <v>44693</v>
      </c>
      <c r="G95">
        <v>10</v>
      </c>
      <c r="H95" s="3">
        <v>2</v>
      </c>
      <c r="I95">
        <v>0.2</v>
      </c>
      <c r="J95" s="1">
        <v>44714</v>
      </c>
      <c r="K95">
        <v>10</v>
      </c>
      <c r="L95">
        <v>245</v>
      </c>
      <c r="M95">
        <v>24.5</v>
      </c>
      <c r="N95">
        <v>122.5</v>
      </c>
    </row>
    <row r="96" spans="1:16" hidden="1" x14ac:dyDescent="0.45">
      <c r="A96" t="s">
        <v>213</v>
      </c>
      <c r="B96" t="s">
        <v>214</v>
      </c>
      <c r="C96" t="s">
        <v>405</v>
      </c>
      <c r="D96" t="s">
        <v>19</v>
      </c>
      <c r="E96" s="1">
        <v>44707</v>
      </c>
      <c r="F96" s="1">
        <v>44697</v>
      </c>
      <c r="G96">
        <v>10</v>
      </c>
      <c r="H96" s="3">
        <v>2</v>
      </c>
      <c r="I96">
        <v>0.2</v>
      </c>
      <c r="J96" s="1">
        <v>44718</v>
      </c>
      <c r="K96">
        <v>10</v>
      </c>
      <c r="L96">
        <v>46</v>
      </c>
      <c r="M96">
        <v>4.5999999999999996</v>
      </c>
      <c r="N96">
        <v>23</v>
      </c>
    </row>
    <row r="97" spans="1:16" x14ac:dyDescent="0.45">
      <c r="A97" t="s">
        <v>215</v>
      </c>
      <c r="B97" t="s">
        <v>216</v>
      </c>
      <c r="D97" t="s">
        <v>19</v>
      </c>
      <c r="E97" s="1">
        <v>44698</v>
      </c>
      <c r="F97" s="1">
        <v>44688</v>
      </c>
      <c r="G97">
        <v>10</v>
      </c>
      <c r="H97" s="3">
        <v>67</v>
      </c>
      <c r="I97">
        <v>6.7</v>
      </c>
      <c r="J97" s="1">
        <v>44709</v>
      </c>
      <c r="K97">
        <v>10</v>
      </c>
      <c r="L97">
        <v>100</v>
      </c>
      <c r="M97">
        <v>10</v>
      </c>
      <c r="N97">
        <v>1.4930000000000001</v>
      </c>
    </row>
    <row r="98" spans="1:16" x14ac:dyDescent="0.45">
      <c r="A98" t="s">
        <v>215</v>
      </c>
      <c r="B98" t="s">
        <v>217</v>
      </c>
      <c r="D98" t="s">
        <v>19</v>
      </c>
      <c r="E98" s="1">
        <v>44719</v>
      </c>
      <c r="F98" s="1">
        <v>44709</v>
      </c>
      <c r="G98">
        <v>10</v>
      </c>
      <c r="H98" s="3">
        <v>117</v>
      </c>
      <c r="I98">
        <v>11.7</v>
      </c>
      <c r="J98" s="1">
        <v>44730</v>
      </c>
      <c r="K98">
        <v>10</v>
      </c>
      <c r="L98">
        <v>304</v>
      </c>
      <c r="M98">
        <v>30.4</v>
      </c>
      <c r="N98">
        <v>2.5979999999999999</v>
      </c>
    </row>
    <row r="99" spans="1:16" hidden="1" x14ac:dyDescent="0.45">
      <c r="A99" t="s">
        <v>218</v>
      </c>
      <c r="B99" t="s">
        <v>219</v>
      </c>
      <c r="C99" t="s">
        <v>405</v>
      </c>
      <c r="D99" t="s">
        <v>19</v>
      </c>
      <c r="E99" t="s">
        <v>32</v>
      </c>
      <c r="F99" t="s">
        <v>25</v>
      </c>
      <c r="G99">
        <v>0</v>
      </c>
      <c r="H99" s="3">
        <v>0</v>
      </c>
      <c r="I99" t="s">
        <v>25</v>
      </c>
      <c r="J99" t="s">
        <v>25</v>
      </c>
      <c r="K99">
        <v>0</v>
      </c>
      <c r="L99">
        <v>0</v>
      </c>
      <c r="M99" t="s">
        <v>25</v>
      </c>
      <c r="N99" t="s">
        <v>25</v>
      </c>
      <c r="O99" t="s">
        <v>220</v>
      </c>
      <c r="P99" t="s">
        <v>221</v>
      </c>
    </row>
    <row r="100" spans="1:16" hidden="1" x14ac:dyDescent="0.45">
      <c r="A100" t="s">
        <v>222</v>
      </c>
      <c r="B100" t="s">
        <v>223</v>
      </c>
      <c r="C100" t="s">
        <v>405</v>
      </c>
      <c r="D100" t="s">
        <v>23</v>
      </c>
      <c r="E100" t="s">
        <v>24</v>
      </c>
      <c r="F100" t="s">
        <v>25</v>
      </c>
      <c r="G100">
        <v>0</v>
      </c>
      <c r="H100">
        <v>0</v>
      </c>
      <c r="I100" t="s">
        <v>25</v>
      </c>
      <c r="J100" t="s">
        <v>25</v>
      </c>
      <c r="K100">
        <v>0</v>
      </c>
      <c r="L100">
        <v>0</v>
      </c>
      <c r="M100" t="s">
        <v>25</v>
      </c>
      <c r="N100" t="s">
        <v>25</v>
      </c>
      <c r="O100" t="s">
        <v>224</v>
      </c>
      <c r="P100" t="s">
        <v>23</v>
      </c>
    </row>
    <row r="101" spans="1:16" hidden="1" x14ac:dyDescent="0.45">
      <c r="A101" t="s">
        <v>225</v>
      </c>
      <c r="B101" t="s">
        <v>226</v>
      </c>
      <c r="C101" t="s">
        <v>405</v>
      </c>
      <c r="D101" t="s">
        <v>19</v>
      </c>
      <c r="E101" s="1">
        <v>44671</v>
      </c>
      <c r="F101" s="1">
        <v>44661</v>
      </c>
      <c r="G101">
        <v>10</v>
      </c>
      <c r="H101" s="3">
        <v>9</v>
      </c>
      <c r="I101">
        <v>0.9</v>
      </c>
      <c r="J101" s="1">
        <v>44682</v>
      </c>
      <c r="K101">
        <v>10</v>
      </c>
      <c r="L101">
        <v>5</v>
      </c>
      <c r="M101">
        <v>0.5</v>
      </c>
      <c r="N101">
        <v>0.55600000000000005</v>
      </c>
    </row>
    <row r="102" spans="1:16" hidden="1" x14ac:dyDescent="0.45">
      <c r="A102" t="s">
        <v>227</v>
      </c>
      <c r="B102" t="s">
        <v>228</v>
      </c>
      <c r="C102" t="s">
        <v>405</v>
      </c>
      <c r="D102" t="s">
        <v>19</v>
      </c>
      <c r="E102" t="s">
        <v>32</v>
      </c>
      <c r="F102" t="s">
        <v>25</v>
      </c>
      <c r="G102">
        <v>0</v>
      </c>
      <c r="H102" s="3">
        <v>0</v>
      </c>
      <c r="I102" t="s">
        <v>25</v>
      </c>
      <c r="J102" t="s">
        <v>25</v>
      </c>
      <c r="K102">
        <v>0</v>
      </c>
      <c r="L102">
        <v>0</v>
      </c>
      <c r="M102" t="s">
        <v>25</v>
      </c>
      <c r="N102" t="s">
        <v>25</v>
      </c>
      <c r="O102" t="s">
        <v>106</v>
      </c>
      <c r="P102" t="s">
        <v>229</v>
      </c>
    </row>
    <row r="103" spans="1:16" hidden="1" x14ac:dyDescent="0.45">
      <c r="A103" t="s">
        <v>227</v>
      </c>
      <c r="B103" t="s">
        <v>230</v>
      </c>
      <c r="C103" t="s">
        <v>405</v>
      </c>
      <c r="D103" t="s">
        <v>19</v>
      </c>
      <c r="E103" t="s">
        <v>24</v>
      </c>
      <c r="F103" t="s">
        <v>25</v>
      </c>
      <c r="G103">
        <v>0</v>
      </c>
      <c r="H103" s="3">
        <v>0</v>
      </c>
      <c r="I103" t="s">
        <v>25</v>
      </c>
      <c r="J103" t="s">
        <v>25</v>
      </c>
      <c r="K103">
        <v>0</v>
      </c>
      <c r="L103">
        <v>0</v>
      </c>
      <c r="M103" t="s">
        <v>25</v>
      </c>
      <c r="N103" t="s">
        <v>25</v>
      </c>
      <c r="O103" t="s">
        <v>106</v>
      </c>
      <c r="P103" t="s">
        <v>229</v>
      </c>
    </row>
    <row r="104" spans="1:16" hidden="1" x14ac:dyDescent="0.45">
      <c r="A104" t="s">
        <v>227</v>
      </c>
      <c r="B104" t="s">
        <v>231</v>
      </c>
      <c r="C104" t="s">
        <v>405</v>
      </c>
      <c r="D104" t="s">
        <v>19</v>
      </c>
      <c r="E104" t="s">
        <v>24</v>
      </c>
      <c r="F104" t="s">
        <v>25</v>
      </c>
      <c r="G104">
        <v>0</v>
      </c>
      <c r="H104" s="3">
        <v>0</v>
      </c>
      <c r="I104" t="s">
        <v>25</v>
      </c>
      <c r="J104" t="s">
        <v>25</v>
      </c>
      <c r="K104">
        <v>0</v>
      </c>
      <c r="L104">
        <v>0</v>
      </c>
      <c r="M104" t="s">
        <v>25</v>
      </c>
      <c r="N104" t="s">
        <v>25</v>
      </c>
      <c r="O104" t="s">
        <v>106</v>
      </c>
      <c r="P104" t="s">
        <v>229</v>
      </c>
    </row>
    <row r="105" spans="1:16" hidden="1" x14ac:dyDescent="0.45">
      <c r="A105" t="s">
        <v>227</v>
      </c>
      <c r="B105" t="s">
        <v>232</v>
      </c>
      <c r="C105" t="s">
        <v>405</v>
      </c>
      <c r="D105" t="s">
        <v>19</v>
      </c>
      <c r="E105" t="s">
        <v>24</v>
      </c>
      <c r="F105" t="s">
        <v>25</v>
      </c>
      <c r="G105">
        <v>0</v>
      </c>
      <c r="H105" s="3">
        <v>0</v>
      </c>
      <c r="I105" t="s">
        <v>25</v>
      </c>
      <c r="J105" t="s">
        <v>25</v>
      </c>
      <c r="K105">
        <v>0</v>
      </c>
      <c r="L105">
        <v>0</v>
      </c>
      <c r="M105" t="s">
        <v>25</v>
      </c>
      <c r="N105" t="s">
        <v>25</v>
      </c>
      <c r="O105" t="s">
        <v>106</v>
      </c>
      <c r="P105" t="s">
        <v>229</v>
      </c>
    </row>
    <row r="106" spans="1:16" hidden="1" x14ac:dyDescent="0.45">
      <c r="A106" t="s">
        <v>233</v>
      </c>
      <c r="B106" t="s">
        <v>234</v>
      </c>
      <c r="C106" t="s">
        <v>405</v>
      </c>
      <c r="D106" t="s">
        <v>118</v>
      </c>
      <c r="E106" t="s">
        <v>24</v>
      </c>
      <c r="F106" t="s">
        <v>25</v>
      </c>
      <c r="G106">
        <v>0</v>
      </c>
      <c r="H106">
        <v>0</v>
      </c>
      <c r="I106" t="s">
        <v>25</v>
      </c>
      <c r="J106" t="s">
        <v>25</v>
      </c>
      <c r="K106">
        <v>0</v>
      </c>
      <c r="L106">
        <v>0</v>
      </c>
      <c r="M106" t="s">
        <v>25</v>
      </c>
      <c r="N106" t="s">
        <v>25</v>
      </c>
      <c r="O106" t="s">
        <v>41</v>
      </c>
      <c r="P106" t="s">
        <v>23</v>
      </c>
    </row>
    <row r="107" spans="1:16" x14ac:dyDescent="0.45">
      <c r="A107" t="s">
        <v>235</v>
      </c>
      <c r="B107" t="s">
        <v>236</v>
      </c>
      <c r="D107" s="2" t="s">
        <v>46</v>
      </c>
      <c r="E107" s="1">
        <v>45123</v>
      </c>
      <c r="F107" s="1">
        <v>45113</v>
      </c>
      <c r="G107">
        <v>10</v>
      </c>
      <c r="H107" s="3">
        <v>254</v>
      </c>
      <c r="I107">
        <v>25.4</v>
      </c>
      <c r="J107" s="1">
        <v>45134</v>
      </c>
      <c r="K107">
        <v>10</v>
      </c>
      <c r="L107">
        <v>109</v>
      </c>
      <c r="M107">
        <v>10.9</v>
      </c>
      <c r="N107">
        <v>0.42899999999999999</v>
      </c>
    </row>
    <row r="108" spans="1:16" x14ac:dyDescent="0.45">
      <c r="A108" t="s">
        <v>237</v>
      </c>
      <c r="B108" t="s">
        <v>238</v>
      </c>
      <c r="D108" t="s">
        <v>19</v>
      </c>
      <c r="E108" s="1">
        <v>45097</v>
      </c>
      <c r="F108" s="1">
        <v>45087</v>
      </c>
      <c r="G108">
        <v>10</v>
      </c>
      <c r="H108" s="3">
        <v>87</v>
      </c>
      <c r="I108">
        <v>8.6999999999999993</v>
      </c>
      <c r="J108" s="1">
        <v>45108</v>
      </c>
      <c r="K108">
        <v>10</v>
      </c>
      <c r="L108">
        <v>165</v>
      </c>
      <c r="M108">
        <v>16.5</v>
      </c>
      <c r="N108">
        <v>1.897</v>
      </c>
    </row>
    <row r="109" spans="1:16" x14ac:dyDescent="0.45">
      <c r="A109" t="s">
        <v>239</v>
      </c>
      <c r="B109" t="s">
        <v>240</v>
      </c>
      <c r="D109" t="s">
        <v>19</v>
      </c>
      <c r="E109" s="1">
        <v>45090</v>
      </c>
      <c r="F109" s="1">
        <v>45080</v>
      </c>
      <c r="G109">
        <v>10</v>
      </c>
      <c r="H109" s="3">
        <v>296</v>
      </c>
      <c r="I109">
        <v>29.6</v>
      </c>
      <c r="J109" s="1">
        <v>45101</v>
      </c>
      <c r="K109">
        <v>10</v>
      </c>
      <c r="L109">
        <v>262</v>
      </c>
      <c r="M109">
        <v>26.2</v>
      </c>
      <c r="N109">
        <v>0.88500000000000001</v>
      </c>
    </row>
    <row r="110" spans="1:16" x14ac:dyDescent="0.45">
      <c r="A110" t="s">
        <v>241</v>
      </c>
      <c r="B110" t="s">
        <v>242</v>
      </c>
      <c r="D110" s="2" t="s">
        <v>46</v>
      </c>
      <c r="E110" s="1">
        <v>45088</v>
      </c>
      <c r="F110" s="1">
        <v>45078</v>
      </c>
      <c r="G110">
        <v>10</v>
      </c>
      <c r="H110" s="3">
        <v>163</v>
      </c>
      <c r="I110">
        <v>16.3</v>
      </c>
      <c r="J110" s="1">
        <v>45099</v>
      </c>
      <c r="K110">
        <v>10</v>
      </c>
      <c r="L110">
        <v>88</v>
      </c>
      <c r="M110">
        <v>8.8000000000000007</v>
      </c>
      <c r="N110">
        <v>0.54</v>
      </c>
    </row>
    <row r="111" spans="1:16" x14ac:dyDescent="0.45">
      <c r="A111" t="s">
        <v>243</v>
      </c>
      <c r="B111" t="s">
        <v>244</v>
      </c>
      <c r="D111" t="s">
        <v>19</v>
      </c>
      <c r="E111" s="1">
        <v>45095</v>
      </c>
      <c r="F111" s="1">
        <v>45085</v>
      </c>
      <c r="G111">
        <v>10</v>
      </c>
      <c r="H111" s="3">
        <v>325</v>
      </c>
      <c r="I111">
        <v>32.5</v>
      </c>
      <c r="J111" s="1">
        <v>45106</v>
      </c>
      <c r="K111">
        <v>10</v>
      </c>
      <c r="L111">
        <v>319</v>
      </c>
      <c r="M111">
        <v>31.9</v>
      </c>
      <c r="N111">
        <v>0.98199999999999998</v>
      </c>
    </row>
    <row r="112" spans="1:16" x14ac:dyDescent="0.45">
      <c r="A112" t="s">
        <v>245</v>
      </c>
      <c r="B112" t="s">
        <v>246</v>
      </c>
      <c r="D112" t="s">
        <v>19</v>
      </c>
      <c r="E112" s="1">
        <v>45105</v>
      </c>
      <c r="F112" s="1">
        <v>45095</v>
      </c>
      <c r="G112">
        <v>10</v>
      </c>
      <c r="H112" s="3">
        <v>295</v>
      </c>
      <c r="I112">
        <v>29.5</v>
      </c>
      <c r="J112" s="1">
        <v>45116</v>
      </c>
      <c r="K112">
        <v>10</v>
      </c>
      <c r="L112">
        <v>172</v>
      </c>
      <c r="M112">
        <v>17.2</v>
      </c>
      <c r="N112">
        <v>0.58299999999999996</v>
      </c>
    </row>
    <row r="113" spans="1:16" hidden="1" x14ac:dyDescent="0.45">
      <c r="A113" t="s">
        <v>247</v>
      </c>
      <c r="B113" t="s">
        <v>248</v>
      </c>
      <c r="C113" t="s">
        <v>405</v>
      </c>
      <c r="D113" s="2" t="s">
        <v>17</v>
      </c>
      <c r="E113" s="1">
        <v>45064</v>
      </c>
      <c r="F113" s="1">
        <v>45054</v>
      </c>
      <c r="G113">
        <v>10</v>
      </c>
      <c r="H113" s="3">
        <v>11</v>
      </c>
      <c r="I113">
        <v>1.1000000000000001</v>
      </c>
      <c r="J113" s="1">
        <v>45075</v>
      </c>
      <c r="K113">
        <v>10</v>
      </c>
      <c r="L113">
        <v>0</v>
      </c>
      <c r="M113">
        <v>0</v>
      </c>
      <c r="N113">
        <v>0</v>
      </c>
    </row>
    <row r="114" spans="1:16" hidden="1" x14ac:dyDescent="0.45">
      <c r="A114" t="s">
        <v>249</v>
      </c>
      <c r="B114" t="s">
        <v>250</v>
      </c>
      <c r="C114" t="s">
        <v>405</v>
      </c>
      <c r="D114" t="s">
        <v>118</v>
      </c>
      <c r="E114" t="s">
        <v>24</v>
      </c>
      <c r="F114" t="s">
        <v>25</v>
      </c>
      <c r="G114">
        <v>0</v>
      </c>
      <c r="H114">
        <v>0</v>
      </c>
      <c r="I114" t="s">
        <v>25</v>
      </c>
      <c r="J114" t="s">
        <v>25</v>
      </c>
      <c r="K114">
        <v>0</v>
      </c>
      <c r="L114">
        <v>0</v>
      </c>
      <c r="M114" t="s">
        <v>25</v>
      </c>
      <c r="N114" t="s">
        <v>25</v>
      </c>
      <c r="O114" t="s">
        <v>186</v>
      </c>
      <c r="P114" t="s">
        <v>23</v>
      </c>
    </row>
    <row r="115" spans="1:16" hidden="1" x14ac:dyDescent="0.45">
      <c r="A115" t="s">
        <v>251</v>
      </c>
      <c r="B115" t="s">
        <v>252</v>
      </c>
      <c r="C115" t="s">
        <v>405</v>
      </c>
      <c r="D115" t="s">
        <v>118</v>
      </c>
      <c r="E115" t="s">
        <v>24</v>
      </c>
      <c r="F115" t="s">
        <v>25</v>
      </c>
      <c r="G115">
        <v>0</v>
      </c>
      <c r="H115">
        <v>0</v>
      </c>
      <c r="I115" t="s">
        <v>25</v>
      </c>
      <c r="J115" t="s">
        <v>25</v>
      </c>
      <c r="K115">
        <v>0</v>
      </c>
      <c r="L115">
        <v>0</v>
      </c>
      <c r="M115" t="s">
        <v>25</v>
      </c>
      <c r="N115" t="s">
        <v>25</v>
      </c>
      <c r="O115" t="s">
        <v>186</v>
      </c>
      <c r="P115" t="s">
        <v>23</v>
      </c>
    </row>
    <row r="116" spans="1:16" hidden="1" x14ac:dyDescent="0.45">
      <c r="A116" t="s">
        <v>253</v>
      </c>
      <c r="B116" t="s">
        <v>254</v>
      </c>
      <c r="C116" t="s">
        <v>405</v>
      </c>
      <c r="D116" t="s">
        <v>118</v>
      </c>
      <c r="E116" t="s">
        <v>24</v>
      </c>
      <c r="F116" t="s">
        <v>25</v>
      </c>
      <c r="G116">
        <v>0</v>
      </c>
      <c r="H116">
        <v>0</v>
      </c>
      <c r="I116" t="s">
        <v>25</v>
      </c>
      <c r="J116" t="s">
        <v>25</v>
      </c>
      <c r="K116">
        <v>0</v>
      </c>
      <c r="L116">
        <v>0</v>
      </c>
      <c r="M116" t="s">
        <v>25</v>
      </c>
      <c r="N116" t="s">
        <v>25</v>
      </c>
      <c r="O116" t="s">
        <v>109</v>
      </c>
      <c r="P116" t="s">
        <v>23</v>
      </c>
    </row>
    <row r="117" spans="1:16" x14ac:dyDescent="0.45">
      <c r="A117" t="s">
        <v>255</v>
      </c>
      <c r="B117" t="s">
        <v>256</v>
      </c>
      <c r="D117" t="s">
        <v>19</v>
      </c>
      <c r="E117" s="1">
        <v>45083</v>
      </c>
      <c r="F117" s="1">
        <v>45073</v>
      </c>
      <c r="G117">
        <v>10</v>
      </c>
      <c r="H117" s="3">
        <v>462</v>
      </c>
      <c r="I117">
        <v>46.2</v>
      </c>
      <c r="J117" s="1">
        <v>45094</v>
      </c>
      <c r="K117">
        <v>10</v>
      </c>
      <c r="L117">
        <v>320</v>
      </c>
      <c r="M117">
        <v>32</v>
      </c>
      <c r="N117">
        <v>0.69299999999999995</v>
      </c>
    </row>
    <row r="118" spans="1:16" hidden="1" x14ac:dyDescent="0.45">
      <c r="A118" t="s">
        <v>255</v>
      </c>
      <c r="B118" t="s">
        <v>257</v>
      </c>
      <c r="C118" t="s">
        <v>405</v>
      </c>
      <c r="D118" t="s">
        <v>85</v>
      </c>
      <c r="E118" t="s">
        <v>258</v>
      </c>
      <c r="F118" t="s">
        <v>25</v>
      </c>
      <c r="G118">
        <v>0</v>
      </c>
      <c r="H118">
        <v>0</v>
      </c>
      <c r="I118" t="s">
        <v>25</v>
      </c>
      <c r="J118" t="s">
        <v>25</v>
      </c>
      <c r="K118">
        <v>0</v>
      </c>
      <c r="L118">
        <v>0</v>
      </c>
      <c r="M118" t="s">
        <v>25</v>
      </c>
      <c r="N118" t="s">
        <v>25</v>
      </c>
      <c r="O118" t="s">
        <v>259</v>
      </c>
      <c r="P118">
        <v>10000</v>
      </c>
    </row>
    <row r="119" spans="1:16" hidden="1" x14ac:dyDescent="0.45">
      <c r="A119" t="s">
        <v>260</v>
      </c>
      <c r="B119" t="s">
        <v>261</v>
      </c>
      <c r="C119" t="s">
        <v>405</v>
      </c>
      <c r="D119" t="s">
        <v>46</v>
      </c>
      <c r="E119" t="s">
        <v>32</v>
      </c>
      <c r="F119" t="s">
        <v>25</v>
      </c>
      <c r="G119">
        <v>0</v>
      </c>
      <c r="H119" s="3">
        <v>0</v>
      </c>
      <c r="I119" t="s">
        <v>25</v>
      </c>
      <c r="J119" t="s">
        <v>25</v>
      </c>
      <c r="K119">
        <v>0</v>
      </c>
      <c r="L119">
        <v>0</v>
      </c>
      <c r="M119" t="s">
        <v>25</v>
      </c>
      <c r="N119" t="s">
        <v>25</v>
      </c>
      <c r="O119" t="s">
        <v>26</v>
      </c>
      <c r="P119">
        <v>600</v>
      </c>
    </row>
    <row r="120" spans="1:16" x14ac:dyDescent="0.45">
      <c r="A120" t="s">
        <v>262</v>
      </c>
      <c r="B120" t="s">
        <v>263</v>
      </c>
      <c r="D120" t="s">
        <v>19</v>
      </c>
      <c r="E120" s="1">
        <v>45042</v>
      </c>
      <c r="F120" s="1">
        <v>45032</v>
      </c>
      <c r="G120">
        <v>10</v>
      </c>
      <c r="H120" s="3">
        <v>179</v>
      </c>
      <c r="I120">
        <v>17.899999999999999</v>
      </c>
      <c r="J120" s="1">
        <v>45053</v>
      </c>
      <c r="K120">
        <v>10</v>
      </c>
      <c r="L120">
        <v>120</v>
      </c>
      <c r="M120">
        <v>12</v>
      </c>
      <c r="N120">
        <v>0.67</v>
      </c>
    </row>
    <row r="121" spans="1:16" hidden="1" x14ac:dyDescent="0.45">
      <c r="A121" t="s">
        <v>264</v>
      </c>
      <c r="B121" t="s">
        <v>265</v>
      </c>
      <c r="C121" t="s">
        <v>405</v>
      </c>
      <c r="D121" t="s">
        <v>118</v>
      </c>
      <c r="E121" t="s">
        <v>24</v>
      </c>
      <c r="F121" t="s">
        <v>25</v>
      </c>
      <c r="G121">
        <v>0</v>
      </c>
      <c r="H121">
        <v>0</v>
      </c>
      <c r="I121" t="s">
        <v>25</v>
      </c>
      <c r="J121" t="s">
        <v>25</v>
      </c>
      <c r="K121">
        <v>0</v>
      </c>
      <c r="L121">
        <v>0</v>
      </c>
      <c r="M121" t="s">
        <v>25</v>
      </c>
      <c r="N121" t="s">
        <v>25</v>
      </c>
      <c r="O121" t="s">
        <v>224</v>
      </c>
      <c r="P121" t="s">
        <v>23</v>
      </c>
    </row>
    <row r="122" spans="1:16" x14ac:dyDescent="0.45">
      <c r="A122" t="s">
        <v>266</v>
      </c>
      <c r="B122" t="s">
        <v>267</v>
      </c>
      <c r="D122" t="s">
        <v>19</v>
      </c>
      <c r="E122" s="1">
        <v>45085</v>
      </c>
      <c r="F122" s="1">
        <v>45075</v>
      </c>
      <c r="G122">
        <v>10</v>
      </c>
      <c r="H122" s="3">
        <v>127</v>
      </c>
      <c r="I122">
        <v>12.7</v>
      </c>
      <c r="J122" s="1">
        <v>45096</v>
      </c>
      <c r="K122">
        <v>10</v>
      </c>
      <c r="L122">
        <v>243</v>
      </c>
      <c r="M122">
        <v>24.3</v>
      </c>
      <c r="N122">
        <v>1.913</v>
      </c>
    </row>
    <row r="123" spans="1:16" hidden="1" x14ac:dyDescent="0.45">
      <c r="A123" t="s">
        <v>266</v>
      </c>
      <c r="B123" t="s">
        <v>268</v>
      </c>
      <c r="C123" t="s">
        <v>405</v>
      </c>
      <c r="D123" t="s">
        <v>19</v>
      </c>
      <c r="E123" s="1">
        <v>45112</v>
      </c>
      <c r="F123" s="1">
        <v>45102</v>
      </c>
      <c r="G123">
        <v>10</v>
      </c>
      <c r="H123" s="3">
        <v>19</v>
      </c>
      <c r="I123">
        <v>1.9</v>
      </c>
      <c r="J123" s="1">
        <v>45123</v>
      </c>
      <c r="K123">
        <v>10</v>
      </c>
      <c r="L123">
        <v>107</v>
      </c>
      <c r="M123">
        <v>10.7</v>
      </c>
      <c r="N123">
        <v>5.6319999999999997</v>
      </c>
    </row>
    <row r="124" spans="1:16" x14ac:dyDescent="0.45">
      <c r="A124" t="s">
        <v>269</v>
      </c>
      <c r="B124" t="s">
        <v>270</v>
      </c>
      <c r="D124" t="s">
        <v>19</v>
      </c>
      <c r="E124" s="1">
        <v>45057</v>
      </c>
      <c r="F124" s="1">
        <v>45047</v>
      </c>
      <c r="G124">
        <v>10</v>
      </c>
      <c r="H124" s="3">
        <v>281</v>
      </c>
      <c r="I124">
        <v>28.1</v>
      </c>
      <c r="J124" s="1">
        <v>45068</v>
      </c>
      <c r="K124">
        <v>10</v>
      </c>
      <c r="L124">
        <v>201</v>
      </c>
      <c r="M124">
        <v>20.100000000000001</v>
      </c>
      <c r="N124">
        <v>0.71499999999999997</v>
      </c>
    </row>
    <row r="125" spans="1:16" x14ac:dyDescent="0.45">
      <c r="A125" t="s">
        <v>271</v>
      </c>
      <c r="B125" t="s">
        <v>272</v>
      </c>
      <c r="D125" t="s">
        <v>19</v>
      </c>
      <c r="E125" s="1">
        <v>45062</v>
      </c>
      <c r="F125" s="1">
        <v>45055</v>
      </c>
      <c r="G125">
        <v>7</v>
      </c>
      <c r="H125" s="3">
        <v>214</v>
      </c>
      <c r="I125">
        <v>30.571000000000002</v>
      </c>
      <c r="J125" s="1">
        <v>45073</v>
      </c>
      <c r="K125">
        <v>10</v>
      </c>
      <c r="L125">
        <v>208</v>
      </c>
      <c r="M125">
        <v>20.8</v>
      </c>
      <c r="N125">
        <v>0.68</v>
      </c>
    </row>
    <row r="126" spans="1:16" x14ac:dyDescent="0.45">
      <c r="A126" t="s">
        <v>273</v>
      </c>
      <c r="B126" t="s">
        <v>274</v>
      </c>
      <c r="D126" s="2" t="s">
        <v>17</v>
      </c>
      <c r="E126" s="1">
        <v>45042</v>
      </c>
      <c r="F126" s="1">
        <v>45032</v>
      </c>
      <c r="G126">
        <v>10</v>
      </c>
      <c r="H126" s="3">
        <v>58</v>
      </c>
      <c r="I126">
        <v>5.8</v>
      </c>
      <c r="J126" s="1">
        <v>45053</v>
      </c>
      <c r="K126">
        <v>10</v>
      </c>
      <c r="L126">
        <v>0</v>
      </c>
      <c r="M126">
        <v>0</v>
      </c>
      <c r="N126">
        <v>0</v>
      </c>
    </row>
    <row r="127" spans="1:16" x14ac:dyDescent="0.45">
      <c r="A127" t="s">
        <v>275</v>
      </c>
      <c r="B127" t="s">
        <v>276</v>
      </c>
      <c r="D127" t="s">
        <v>19</v>
      </c>
      <c r="E127" s="1">
        <v>45044</v>
      </c>
      <c r="F127" s="1">
        <v>45034</v>
      </c>
      <c r="G127">
        <v>10</v>
      </c>
      <c r="H127" s="3">
        <v>238</v>
      </c>
      <c r="I127">
        <v>23.8</v>
      </c>
      <c r="J127" s="1">
        <v>45055</v>
      </c>
      <c r="K127">
        <v>10</v>
      </c>
      <c r="L127">
        <v>303</v>
      </c>
      <c r="M127">
        <v>30.3</v>
      </c>
      <c r="N127">
        <v>1.2729999999999999</v>
      </c>
    </row>
    <row r="128" spans="1:16" hidden="1" x14ac:dyDescent="0.45">
      <c r="A128" t="s">
        <v>275</v>
      </c>
      <c r="B128" t="s">
        <v>277</v>
      </c>
      <c r="C128" t="s">
        <v>405</v>
      </c>
      <c r="D128" t="s">
        <v>19</v>
      </c>
      <c r="E128" s="1">
        <v>45092</v>
      </c>
      <c r="F128" s="1">
        <v>45082</v>
      </c>
      <c r="G128">
        <v>10</v>
      </c>
      <c r="H128" s="3">
        <v>49</v>
      </c>
      <c r="I128">
        <v>4.9000000000000004</v>
      </c>
      <c r="J128" s="1">
        <v>45103</v>
      </c>
      <c r="K128">
        <v>10</v>
      </c>
      <c r="L128">
        <v>116</v>
      </c>
      <c r="M128">
        <v>11.6</v>
      </c>
      <c r="N128">
        <v>2.367</v>
      </c>
    </row>
    <row r="129" spans="1:16" x14ac:dyDescent="0.45">
      <c r="A129" t="s">
        <v>278</v>
      </c>
      <c r="B129" t="s">
        <v>279</v>
      </c>
      <c r="D129" s="2" t="s">
        <v>46</v>
      </c>
      <c r="E129" s="1">
        <v>45077</v>
      </c>
      <c r="F129" s="1">
        <v>45067</v>
      </c>
      <c r="G129">
        <v>10</v>
      </c>
      <c r="H129" s="3">
        <v>89</v>
      </c>
      <c r="I129">
        <v>8.9</v>
      </c>
      <c r="J129" s="1">
        <v>45088</v>
      </c>
      <c r="K129">
        <v>10</v>
      </c>
      <c r="L129">
        <v>26</v>
      </c>
      <c r="M129">
        <v>2.6</v>
      </c>
      <c r="N129">
        <v>0.29199999999999998</v>
      </c>
    </row>
    <row r="130" spans="1:16" hidden="1" x14ac:dyDescent="0.45">
      <c r="A130" t="s">
        <v>280</v>
      </c>
      <c r="B130" t="s">
        <v>281</v>
      </c>
      <c r="C130" t="s">
        <v>405</v>
      </c>
      <c r="D130" t="s">
        <v>19</v>
      </c>
      <c r="E130" t="s">
        <v>32</v>
      </c>
      <c r="F130" t="s">
        <v>25</v>
      </c>
      <c r="G130">
        <v>0</v>
      </c>
      <c r="H130" s="3">
        <v>0</v>
      </c>
      <c r="I130" t="s">
        <v>25</v>
      </c>
      <c r="J130" t="s">
        <v>25</v>
      </c>
      <c r="K130">
        <v>0</v>
      </c>
      <c r="L130">
        <v>0</v>
      </c>
      <c r="M130" t="s">
        <v>25</v>
      </c>
      <c r="N130" t="s">
        <v>25</v>
      </c>
      <c r="O130" t="s">
        <v>282</v>
      </c>
      <c r="P130" t="s">
        <v>283</v>
      </c>
    </row>
    <row r="131" spans="1:16" x14ac:dyDescent="0.45">
      <c r="A131" t="s">
        <v>280</v>
      </c>
      <c r="B131" t="s">
        <v>284</v>
      </c>
      <c r="D131" s="2" t="s">
        <v>46</v>
      </c>
      <c r="E131" s="1">
        <v>45071</v>
      </c>
      <c r="F131" s="1">
        <v>45061</v>
      </c>
      <c r="G131">
        <v>10</v>
      </c>
      <c r="H131" s="3">
        <v>58</v>
      </c>
      <c r="I131">
        <v>5.8</v>
      </c>
      <c r="J131" s="1">
        <v>45082</v>
      </c>
      <c r="K131">
        <v>10</v>
      </c>
      <c r="L131">
        <v>0</v>
      </c>
      <c r="M131">
        <v>0</v>
      </c>
      <c r="N131">
        <v>0</v>
      </c>
    </row>
    <row r="132" spans="1:16" x14ac:dyDescent="0.45">
      <c r="A132" t="s">
        <v>285</v>
      </c>
      <c r="B132" t="s">
        <v>286</v>
      </c>
      <c r="D132" s="2" t="s">
        <v>17</v>
      </c>
      <c r="E132" s="1">
        <v>45076</v>
      </c>
      <c r="F132" s="1">
        <v>45069</v>
      </c>
      <c r="G132">
        <v>7</v>
      </c>
      <c r="H132" s="3">
        <v>73</v>
      </c>
      <c r="I132">
        <v>10.429</v>
      </c>
      <c r="J132" s="1">
        <v>45086</v>
      </c>
      <c r="K132">
        <v>9</v>
      </c>
      <c r="L132">
        <v>6</v>
      </c>
      <c r="M132">
        <v>0.66700000000000004</v>
      </c>
      <c r="N132">
        <v>6.4000000000000001E-2</v>
      </c>
    </row>
    <row r="133" spans="1:16" hidden="1" x14ac:dyDescent="0.45">
      <c r="A133" t="s">
        <v>287</v>
      </c>
      <c r="B133" t="s">
        <v>288</v>
      </c>
      <c r="C133" t="s">
        <v>405</v>
      </c>
      <c r="D133" t="s">
        <v>19</v>
      </c>
      <c r="E133" s="1">
        <v>45051</v>
      </c>
      <c r="F133" s="1">
        <v>45041</v>
      </c>
      <c r="G133">
        <v>10</v>
      </c>
      <c r="H133" s="3">
        <v>7</v>
      </c>
      <c r="I133">
        <v>0.7</v>
      </c>
      <c r="J133" s="1">
        <v>45062</v>
      </c>
      <c r="K133">
        <v>10</v>
      </c>
      <c r="L133">
        <v>6</v>
      </c>
      <c r="M133">
        <v>0.6</v>
      </c>
      <c r="N133">
        <v>0.85699999999999998</v>
      </c>
    </row>
    <row r="134" spans="1:16" x14ac:dyDescent="0.45">
      <c r="A134" t="s">
        <v>289</v>
      </c>
      <c r="B134" t="s">
        <v>290</v>
      </c>
      <c r="D134" s="2" t="s">
        <v>46</v>
      </c>
      <c r="E134" s="1">
        <v>45065</v>
      </c>
      <c r="F134" s="1">
        <v>45055</v>
      </c>
      <c r="G134">
        <v>10</v>
      </c>
      <c r="H134" s="3">
        <v>145</v>
      </c>
      <c r="I134">
        <v>14.5</v>
      </c>
      <c r="J134" s="1">
        <v>45076</v>
      </c>
      <c r="K134">
        <v>10</v>
      </c>
      <c r="L134">
        <v>18</v>
      </c>
      <c r="M134">
        <v>1.8</v>
      </c>
      <c r="N134">
        <v>0.124</v>
      </c>
    </row>
    <row r="135" spans="1:16" x14ac:dyDescent="0.45">
      <c r="A135" t="s">
        <v>291</v>
      </c>
      <c r="B135" t="s">
        <v>292</v>
      </c>
      <c r="D135" t="s">
        <v>19</v>
      </c>
      <c r="E135" s="1">
        <v>45065</v>
      </c>
      <c r="F135" s="1">
        <v>45055</v>
      </c>
      <c r="G135">
        <v>10</v>
      </c>
      <c r="H135" s="3">
        <v>53</v>
      </c>
      <c r="I135">
        <v>5.3</v>
      </c>
      <c r="J135" s="1">
        <v>45076</v>
      </c>
      <c r="K135">
        <v>10</v>
      </c>
      <c r="L135">
        <v>55</v>
      </c>
      <c r="M135">
        <v>5.5</v>
      </c>
      <c r="N135">
        <v>1.038</v>
      </c>
    </row>
    <row r="136" spans="1:16" x14ac:dyDescent="0.45">
      <c r="A136" t="s">
        <v>293</v>
      </c>
      <c r="B136" t="s">
        <v>294</v>
      </c>
      <c r="D136" t="s">
        <v>19</v>
      </c>
      <c r="E136" s="1">
        <v>45061</v>
      </c>
      <c r="F136" s="1">
        <v>45051</v>
      </c>
      <c r="G136">
        <v>10</v>
      </c>
      <c r="H136" s="3">
        <v>126</v>
      </c>
      <c r="I136">
        <v>12.6</v>
      </c>
      <c r="J136" s="1">
        <v>45072</v>
      </c>
      <c r="K136">
        <v>10</v>
      </c>
      <c r="L136">
        <v>313</v>
      </c>
      <c r="M136">
        <v>31.3</v>
      </c>
      <c r="N136">
        <v>2.484</v>
      </c>
    </row>
    <row r="137" spans="1:16" x14ac:dyDescent="0.45">
      <c r="A137" t="s">
        <v>293</v>
      </c>
      <c r="B137" t="s">
        <v>295</v>
      </c>
      <c r="D137" t="s">
        <v>19</v>
      </c>
      <c r="E137" s="1">
        <v>45097</v>
      </c>
      <c r="F137" s="1">
        <v>45087</v>
      </c>
      <c r="G137">
        <v>10</v>
      </c>
      <c r="H137" s="3">
        <v>71</v>
      </c>
      <c r="I137">
        <v>7.1</v>
      </c>
      <c r="J137" s="1">
        <v>45108</v>
      </c>
      <c r="K137">
        <v>10</v>
      </c>
      <c r="L137">
        <v>93</v>
      </c>
      <c r="M137">
        <v>9.3000000000000007</v>
      </c>
      <c r="N137">
        <v>1.31</v>
      </c>
    </row>
    <row r="138" spans="1:16" hidden="1" x14ac:dyDescent="0.45">
      <c r="A138" t="s">
        <v>296</v>
      </c>
      <c r="B138" t="s">
        <v>297</v>
      </c>
      <c r="C138" t="s">
        <v>405</v>
      </c>
      <c r="D138" t="s">
        <v>19</v>
      </c>
      <c r="E138" t="s">
        <v>32</v>
      </c>
      <c r="F138" t="s">
        <v>25</v>
      </c>
      <c r="G138">
        <v>0</v>
      </c>
      <c r="H138" s="3">
        <v>0</v>
      </c>
      <c r="I138" t="s">
        <v>25</v>
      </c>
      <c r="J138" t="s">
        <v>25</v>
      </c>
      <c r="K138">
        <v>0</v>
      </c>
      <c r="L138">
        <v>0</v>
      </c>
      <c r="M138" t="s">
        <v>25</v>
      </c>
      <c r="N138" t="s">
        <v>25</v>
      </c>
      <c r="O138" t="s">
        <v>298</v>
      </c>
      <c r="P138" t="s">
        <v>299</v>
      </c>
    </row>
    <row r="139" spans="1:16" hidden="1" x14ac:dyDescent="0.45">
      <c r="A139" t="s">
        <v>300</v>
      </c>
      <c r="B139" t="s">
        <v>301</v>
      </c>
      <c r="C139" t="s">
        <v>405</v>
      </c>
      <c r="D139" t="s">
        <v>23</v>
      </c>
      <c r="E139" t="s">
        <v>24</v>
      </c>
      <c r="F139" t="s">
        <v>25</v>
      </c>
      <c r="G139">
        <v>0</v>
      </c>
      <c r="H139">
        <v>0</v>
      </c>
      <c r="I139" t="s">
        <v>25</v>
      </c>
      <c r="J139" t="s">
        <v>25</v>
      </c>
      <c r="K139">
        <v>0</v>
      </c>
      <c r="L139">
        <v>0</v>
      </c>
      <c r="M139" t="s">
        <v>25</v>
      </c>
      <c r="N139" t="s">
        <v>25</v>
      </c>
      <c r="O139" t="s">
        <v>109</v>
      </c>
      <c r="P139" t="s">
        <v>23</v>
      </c>
    </row>
    <row r="140" spans="1:16" x14ac:dyDescent="0.45">
      <c r="A140" t="s">
        <v>302</v>
      </c>
      <c r="B140" t="s">
        <v>303</v>
      </c>
      <c r="D140" t="s">
        <v>19</v>
      </c>
      <c r="E140" s="1">
        <v>45084</v>
      </c>
      <c r="F140" s="1">
        <v>45074</v>
      </c>
      <c r="G140">
        <v>10</v>
      </c>
      <c r="H140" s="3">
        <v>401</v>
      </c>
      <c r="I140">
        <v>40.1</v>
      </c>
      <c r="J140" s="1">
        <v>45095</v>
      </c>
      <c r="K140">
        <v>10</v>
      </c>
      <c r="L140">
        <v>348</v>
      </c>
      <c r="M140">
        <v>34.799999999999997</v>
      </c>
      <c r="N140">
        <v>0.86799999999999999</v>
      </c>
    </row>
    <row r="141" spans="1:16" x14ac:dyDescent="0.45">
      <c r="A141" t="s">
        <v>304</v>
      </c>
      <c r="B141" t="s">
        <v>305</v>
      </c>
      <c r="D141" s="2" t="s">
        <v>46</v>
      </c>
      <c r="E141" s="1">
        <v>45052</v>
      </c>
      <c r="F141" s="1">
        <v>45042</v>
      </c>
      <c r="G141">
        <v>10</v>
      </c>
      <c r="H141" s="3">
        <v>254</v>
      </c>
      <c r="I141">
        <v>25.4</v>
      </c>
      <c r="J141" s="1">
        <v>45063</v>
      </c>
      <c r="K141">
        <v>10</v>
      </c>
      <c r="L141">
        <v>96</v>
      </c>
      <c r="M141">
        <v>9.6</v>
      </c>
      <c r="N141">
        <v>0.378</v>
      </c>
    </row>
    <row r="142" spans="1:16" x14ac:dyDescent="0.45">
      <c r="A142" t="s">
        <v>304</v>
      </c>
      <c r="B142" t="s">
        <v>306</v>
      </c>
      <c r="D142" t="s">
        <v>19</v>
      </c>
      <c r="E142" s="1">
        <v>45092</v>
      </c>
      <c r="F142" s="1">
        <v>45082</v>
      </c>
      <c r="G142">
        <v>10</v>
      </c>
      <c r="H142" s="3">
        <v>254</v>
      </c>
      <c r="I142">
        <v>25.4</v>
      </c>
      <c r="J142" s="1">
        <v>45103</v>
      </c>
      <c r="K142">
        <v>10</v>
      </c>
      <c r="L142">
        <v>320</v>
      </c>
      <c r="M142">
        <v>32</v>
      </c>
      <c r="N142">
        <v>1.26</v>
      </c>
    </row>
    <row r="143" spans="1:16" hidden="1" x14ac:dyDescent="0.45">
      <c r="A143" t="s">
        <v>307</v>
      </c>
      <c r="B143" t="s">
        <v>308</v>
      </c>
      <c r="C143" t="s">
        <v>405</v>
      </c>
      <c r="D143" t="s">
        <v>19</v>
      </c>
      <c r="E143" s="1">
        <v>45062</v>
      </c>
      <c r="F143" s="1">
        <v>45052</v>
      </c>
      <c r="G143">
        <v>10</v>
      </c>
      <c r="H143" s="3">
        <v>1</v>
      </c>
      <c r="I143">
        <v>0.1</v>
      </c>
      <c r="J143" s="1">
        <v>45072</v>
      </c>
      <c r="K143">
        <v>9</v>
      </c>
      <c r="L143">
        <v>30</v>
      </c>
      <c r="M143">
        <v>3.3330000000000002</v>
      </c>
      <c r="N143">
        <v>33.332999999999998</v>
      </c>
    </row>
    <row r="144" spans="1:16" hidden="1" x14ac:dyDescent="0.45">
      <c r="A144" t="s">
        <v>309</v>
      </c>
      <c r="B144" t="s">
        <v>310</v>
      </c>
      <c r="C144" t="s">
        <v>405</v>
      </c>
      <c r="D144" t="s">
        <v>19</v>
      </c>
      <c r="E144" s="1">
        <v>45041</v>
      </c>
      <c r="F144" s="1">
        <v>45031</v>
      </c>
      <c r="G144">
        <v>10</v>
      </c>
      <c r="H144" s="3">
        <v>5</v>
      </c>
      <c r="I144">
        <v>0.5</v>
      </c>
      <c r="J144" s="1">
        <v>45052</v>
      </c>
      <c r="K144">
        <v>10</v>
      </c>
      <c r="L144">
        <v>13</v>
      </c>
      <c r="M144">
        <v>1.3</v>
      </c>
      <c r="N144">
        <v>2.6</v>
      </c>
    </row>
    <row r="145" spans="1:16" hidden="1" x14ac:dyDescent="0.45">
      <c r="A145" t="s">
        <v>309</v>
      </c>
      <c r="B145" t="s">
        <v>311</v>
      </c>
      <c r="C145" t="s">
        <v>405</v>
      </c>
      <c r="D145" t="s">
        <v>19</v>
      </c>
      <c r="E145" s="1">
        <v>45095</v>
      </c>
      <c r="F145" s="1">
        <v>45085</v>
      </c>
      <c r="G145">
        <v>10</v>
      </c>
      <c r="H145" s="3">
        <v>18</v>
      </c>
      <c r="I145">
        <v>1.8</v>
      </c>
      <c r="J145" s="1">
        <v>45106</v>
      </c>
      <c r="K145">
        <v>10</v>
      </c>
      <c r="L145">
        <v>11</v>
      </c>
      <c r="M145">
        <v>1.1000000000000001</v>
      </c>
      <c r="N145">
        <v>0.61099999999999999</v>
      </c>
    </row>
    <row r="146" spans="1:16" x14ac:dyDescent="0.45">
      <c r="A146" t="s">
        <v>312</v>
      </c>
      <c r="B146" t="s">
        <v>313</v>
      </c>
      <c r="D146" s="2" t="s">
        <v>46</v>
      </c>
      <c r="E146" s="1">
        <v>45109</v>
      </c>
      <c r="F146" s="1">
        <v>45099</v>
      </c>
      <c r="G146">
        <v>10</v>
      </c>
      <c r="H146" s="3">
        <v>335</v>
      </c>
      <c r="I146">
        <v>33.5</v>
      </c>
      <c r="J146" s="1">
        <v>45120</v>
      </c>
      <c r="K146">
        <v>10</v>
      </c>
      <c r="L146">
        <v>107</v>
      </c>
      <c r="M146">
        <v>10.7</v>
      </c>
      <c r="N146">
        <v>0.31900000000000001</v>
      </c>
    </row>
    <row r="147" spans="1:16" x14ac:dyDescent="0.45">
      <c r="A147" t="s">
        <v>314</v>
      </c>
      <c r="B147" t="s">
        <v>315</v>
      </c>
      <c r="D147" s="2" t="s">
        <v>46</v>
      </c>
      <c r="E147" s="1">
        <v>45090</v>
      </c>
      <c r="F147" s="1">
        <v>45080</v>
      </c>
      <c r="G147">
        <v>10</v>
      </c>
      <c r="H147" s="3">
        <v>103</v>
      </c>
      <c r="I147">
        <v>10.3</v>
      </c>
      <c r="J147" s="1">
        <v>45101</v>
      </c>
      <c r="K147">
        <v>10</v>
      </c>
      <c r="L147">
        <v>17</v>
      </c>
      <c r="M147">
        <v>1.7</v>
      </c>
      <c r="N147">
        <v>0.16500000000000001</v>
      </c>
    </row>
    <row r="148" spans="1:16" x14ac:dyDescent="0.45">
      <c r="A148" t="s">
        <v>316</v>
      </c>
      <c r="B148" t="s">
        <v>317</v>
      </c>
      <c r="D148" t="s">
        <v>19</v>
      </c>
      <c r="E148" s="1">
        <v>45031</v>
      </c>
      <c r="F148" s="1">
        <v>45021</v>
      </c>
      <c r="G148">
        <v>10</v>
      </c>
      <c r="H148" s="3">
        <v>52</v>
      </c>
      <c r="I148">
        <v>5.2</v>
      </c>
      <c r="J148" s="1">
        <v>45042</v>
      </c>
      <c r="K148">
        <v>10</v>
      </c>
      <c r="L148">
        <v>120</v>
      </c>
      <c r="M148">
        <v>12</v>
      </c>
      <c r="N148">
        <v>2.3079999999999998</v>
      </c>
    </row>
    <row r="149" spans="1:16" hidden="1" x14ac:dyDescent="0.45">
      <c r="A149" t="s">
        <v>318</v>
      </c>
      <c r="B149" t="s">
        <v>319</v>
      </c>
      <c r="C149" t="s">
        <v>405</v>
      </c>
      <c r="D149" t="s">
        <v>118</v>
      </c>
      <c r="E149" t="s">
        <v>24</v>
      </c>
      <c r="F149" t="s">
        <v>25</v>
      </c>
      <c r="G149">
        <v>0</v>
      </c>
      <c r="H149">
        <v>0</v>
      </c>
      <c r="I149" t="s">
        <v>25</v>
      </c>
      <c r="J149" t="s">
        <v>25</v>
      </c>
      <c r="K149">
        <v>0</v>
      </c>
      <c r="L149">
        <v>0</v>
      </c>
      <c r="M149" t="s">
        <v>25</v>
      </c>
      <c r="N149" t="s">
        <v>25</v>
      </c>
      <c r="O149" t="s">
        <v>320</v>
      </c>
      <c r="P149">
        <v>0</v>
      </c>
    </row>
    <row r="150" spans="1:16" hidden="1" x14ac:dyDescent="0.45">
      <c r="A150" t="s">
        <v>321</v>
      </c>
      <c r="B150" t="s">
        <v>322</v>
      </c>
      <c r="C150" t="s">
        <v>405</v>
      </c>
      <c r="D150" t="s">
        <v>23</v>
      </c>
      <c r="E150" t="s">
        <v>24</v>
      </c>
      <c r="F150" t="s">
        <v>25</v>
      </c>
      <c r="G150">
        <v>0</v>
      </c>
      <c r="H150">
        <v>0</v>
      </c>
      <c r="I150" t="s">
        <v>25</v>
      </c>
      <c r="J150" t="s">
        <v>25</v>
      </c>
      <c r="K150">
        <v>0</v>
      </c>
      <c r="L150">
        <v>0</v>
      </c>
      <c r="M150" t="s">
        <v>25</v>
      </c>
      <c r="N150" t="s">
        <v>25</v>
      </c>
      <c r="O150" t="s">
        <v>259</v>
      </c>
      <c r="P150">
        <v>0</v>
      </c>
    </row>
    <row r="151" spans="1:16" hidden="1" x14ac:dyDescent="0.45">
      <c r="A151" t="s">
        <v>323</v>
      </c>
      <c r="B151" t="s">
        <v>324</v>
      </c>
      <c r="C151" t="s">
        <v>405</v>
      </c>
      <c r="D151" t="s">
        <v>19</v>
      </c>
      <c r="E151" t="s">
        <v>24</v>
      </c>
      <c r="F151" t="s">
        <v>25</v>
      </c>
      <c r="G151">
        <v>0</v>
      </c>
      <c r="H151" s="3">
        <v>0</v>
      </c>
      <c r="I151" t="s">
        <v>25</v>
      </c>
      <c r="J151" t="s">
        <v>25</v>
      </c>
      <c r="K151">
        <v>0</v>
      </c>
      <c r="L151">
        <v>0</v>
      </c>
      <c r="M151" t="s">
        <v>25</v>
      </c>
      <c r="N151" t="s">
        <v>25</v>
      </c>
      <c r="O151" t="s">
        <v>220</v>
      </c>
      <c r="P151">
        <v>165</v>
      </c>
    </row>
    <row r="152" spans="1:16" hidden="1" x14ac:dyDescent="0.45">
      <c r="A152" t="s">
        <v>323</v>
      </c>
      <c r="B152" t="s">
        <v>325</v>
      </c>
      <c r="C152" t="s">
        <v>405</v>
      </c>
      <c r="D152" t="s">
        <v>19</v>
      </c>
      <c r="E152" t="s">
        <v>24</v>
      </c>
      <c r="F152" t="s">
        <v>25</v>
      </c>
      <c r="G152">
        <v>0</v>
      </c>
      <c r="H152" s="3">
        <v>0</v>
      </c>
      <c r="I152" t="s">
        <v>25</v>
      </c>
      <c r="J152" t="s">
        <v>25</v>
      </c>
      <c r="K152">
        <v>0</v>
      </c>
      <c r="L152">
        <v>0</v>
      </c>
      <c r="M152" t="s">
        <v>25</v>
      </c>
      <c r="N152" t="s">
        <v>25</v>
      </c>
      <c r="O152" t="s">
        <v>220</v>
      </c>
      <c r="P152">
        <v>165</v>
      </c>
    </row>
    <row r="153" spans="1:16" x14ac:dyDescent="0.45">
      <c r="A153" t="s">
        <v>326</v>
      </c>
      <c r="B153" t="s">
        <v>327</v>
      </c>
      <c r="D153" s="2" t="s">
        <v>46</v>
      </c>
      <c r="E153" s="1">
        <v>45061</v>
      </c>
      <c r="F153" s="1">
        <v>45051</v>
      </c>
      <c r="G153">
        <v>10</v>
      </c>
      <c r="H153" s="3">
        <v>72</v>
      </c>
      <c r="I153">
        <v>7.2</v>
      </c>
      <c r="J153" s="1">
        <v>45072</v>
      </c>
      <c r="K153">
        <v>10</v>
      </c>
      <c r="L153">
        <v>24</v>
      </c>
      <c r="M153">
        <v>2.4</v>
      </c>
      <c r="N153">
        <v>0.33300000000000002</v>
      </c>
    </row>
    <row r="154" spans="1:16" x14ac:dyDescent="0.45">
      <c r="A154" t="s">
        <v>328</v>
      </c>
      <c r="B154" t="s">
        <v>329</v>
      </c>
      <c r="D154" t="s">
        <v>19</v>
      </c>
      <c r="E154" s="1">
        <v>45049</v>
      </c>
      <c r="F154" s="1">
        <v>45039</v>
      </c>
      <c r="G154">
        <v>10</v>
      </c>
      <c r="H154" s="3">
        <v>253</v>
      </c>
      <c r="I154">
        <v>25.3</v>
      </c>
      <c r="J154" s="1">
        <v>45060</v>
      </c>
      <c r="K154">
        <v>10</v>
      </c>
      <c r="L154">
        <v>65</v>
      </c>
      <c r="M154">
        <v>6.5</v>
      </c>
      <c r="N154">
        <v>0.25700000000000001</v>
      </c>
    </row>
    <row r="155" spans="1:16" hidden="1" x14ac:dyDescent="0.45">
      <c r="A155" t="s">
        <v>328</v>
      </c>
      <c r="B155" t="s">
        <v>330</v>
      </c>
      <c r="C155" t="s">
        <v>405</v>
      </c>
      <c r="D155" t="s">
        <v>19</v>
      </c>
      <c r="E155" t="s">
        <v>24</v>
      </c>
      <c r="F155" t="s">
        <v>25</v>
      </c>
      <c r="G155">
        <v>0</v>
      </c>
      <c r="H155" s="3">
        <v>0</v>
      </c>
      <c r="I155" t="s">
        <v>25</v>
      </c>
      <c r="J155" t="s">
        <v>25</v>
      </c>
      <c r="K155">
        <v>0</v>
      </c>
      <c r="L155">
        <v>0</v>
      </c>
      <c r="M155" t="s">
        <v>25</v>
      </c>
      <c r="N155" t="s">
        <v>25</v>
      </c>
      <c r="O155" t="s">
        <v>259</v>
      </c>
      <c r="P155">
        <v>17500</v>
      </c>
    </row>
    <row r="156" spans="1:16" hidden="1" x14ac:dyDescent="0.45">
      <c r="A156" t="s">
        <v>328</v>
      </c>
      <c r="B156" t="s">
        <v>331</v>
      </c>
      <c r="C156" t="s">
        <v>405</v>
      </c>
      <c r="D156" t="s">
        <v>19</v>
      </c>
      <c r="E156" t="s">
        <v>24</v>
      </c>
      <c r="F156" t="s">
        <v>25</v>
      </c>
      <c r="G156">
        <v>0</v>
      </c>
      <c r="H156" s="3">
        <v>0</v>
      </c>
      <c r="I156" t="s">
        <v>25</v>
      </c>
      <c r="J156" t="s">
        <v>25</v>
      </c>
      <c r="K156">
        <v>0</v>
      </c>
      <c r="L156">
        <v>0</v>
      </c>
      <c r="M156" t="s">
        <v>25</v>
      </c>
      <c r="N156" t="s">
        <v>25</v>
      </c>
      <c r="O156" t="s">
        <v>259</v>
      </c>
      <c r="P156">
        <v>17500</v>
      </c>
    </row>
    <row r="157" spans="1:16" hidden="1" x14ac:dyDescent="0.45">
      <c r="A157" t="s">
        <v>328</v>
      </c>
      <c r="B157" t="s">
        <v>332</v>
      </c>
      <c r="C157" t="s">
        <v>405</v>
      </c>
      <c r="D157" t="s">
        <v>85</v>
      </c>
      <c r="E157" t="s">
        <v>24</v>
      </c>
      <c r="F157" t="s">
        <v>25</v>
      </c>
      <c r="G157">
        <v>0</v>
      </c>
      <c r="H157">
        <v>0</v>
      </c>
      <c r="I157" t="s">
        <v>25</v>
      </c>
      <c r="J157" t="s">
        <v>25</v>
      </c>
      <c r="K157">
        <v>0</v>
      </c>
      <c r="L157">
        <v>0</v>
      </c>
      <c r="M157" t="s">
        <v>25</v>
      </c>
      <c r="N157" t="s">
        <v>25</v>
      </c>
      <c r="O157" t="s">
        <v>259</v>
      </c>
      <c r="P157">
        <v>17500</v>
      </c>
    </row>
    <row r="158" spans="1:16" hidden="1" x14ac:dyDescent="0.45">
      <c r="A158" t="s">
        <v>333</v>
      </c>
      <c r="B158" t="s">
        <v>334</v>
      </c>
      <c r="C158" t="s">
        <v>405</v>
      </c>
      <c r="D158" t="s">
        <v>19</v>
      </c>
      <c r="E158" t="s">
        <v>32</v>
      </c>
      <c r="F158" t="s">
        <v>25</v>
      </c>
      <c r="G158">
        <v>0</v>
      </c>
      <c r="H158" s="3">
        <v>0</v>
      </c>
      <c r="I158" t="s">
        <v>25</v>
      </c>
      <c r="J158" t="s">
        <v>25</v>
      </c>
      <c r="K158">
        <v>0</v>
      </c>
      <c r="L158">
        <v>0</v>
      </c>
      <c r="M158" t="s">
        <v>25</v>
      </c>
      <c r="N158" t="s">
        <v>25</v>
      </c>
      <c r="O158" t="s">
        <v>106</v>
      </c>
      <c r="P158">
        <v>1250</v>
      </c>
    </row>
    <row r="159" spans="1:16" x14ac:dyDescent="0.45">
      <c r="A159" t="s">
        <v>333</v>
      </c>
      <c r="B159" t="s">
        <v>335</v>
      </c>
      <c r="D159" t="s">
        <v>19</v>
      </c>
      <c r="E159" s="1">
        <v>45068</v>
      </c>
      <c r="F159" s="1">
        <v>45058</v>
      </c>
      <c r="G159">
        <v>10</v>
      </c>
      <c r="H159" s="3">
        <v>59</v>
      </c>
      <c r="I159">
        <v>5.9</v>
      </c>
      <c r="J159" s="1">
        <v>45079</v>
      </c>
      <c r="K159">
        <v>10</v>
      </c>
      <c r="L159">
        <v>122</v>
      </c>
      <c r="M159">
        <v>12.2</v>
      </c>
      <c r="N159">
        <v>2.0680000000000001</v>
      </c>
    </row>
    <row r="160" spans="1:16" hidden="1" x14ac:dyDescent="0.45">
      <c r="A160" t="s">
        <v>336</v>
      </c>
      <c r="B160" t="s">
        <v>337</v>
      </c>
      <c r="C160" t="s">
        <v>405</v>
      </c>
      <c r="D160" t="s">
        <v>19</v>
      </c>
      <c r="E160" s="1">
        <v>45051</v>
      </c>
      <c r="F160" s="1">
        <v>45041</v>
      </c>
      <c r="G160">
        <v>10</v>
      </c>
      <c r="H160" s="3">
        <v>13</v>
      </c>
      <c r="I160">
        <v>1.3</v>
      </c>
      <c r="J160" s="1">
        <v>45054</v>
      </c>
      <c r="K160">
        <v>2</v>
      </c>
      <c r="L160">
        <v>0</v>
      </c>
      <c r="M160">
        <v>0</v>
      </c>
      <c r="N160">
        <v>0</v>
      </c>
    </row>
    <row r="161" spans="1:16" x14ac:dyDescent="0.45">
      <c r="A161" t="s">
        <v>338</v>
      </c>
      <c r="B161" t="s">
        <v>339</v>
      </c>
      <c r="D161" t="s">
        <v>19</v>
      </c>
      <c r="E161" s="1">
        <v>45047</v>
      </c>
      <c r="F161" s="1">
        <v>45037</v>
      </c>
      <c r="G161">
        <v>10</v>
      </c>
      <c r="H161" s="3">
        <v>74</v>
      </c>
      <c r="I161">
        <v>7.4</v>
      </c>
      <c r="J161" s="1">
        <v>45058</v>
      </c>
      <c r="K161">
        <v>10</v>
      </c>
      <c r="L161">
        <v>22</v>
      </c>
      <c r="M161">
        <v>2.2000000000000002</v>
      </c>
      <c r="N161">
        <v>0.29699999999999999</v>
      </c>
    </row>
    <row r="162" spans="1:16" hidden="1" x14ac:dyDescent="0.45">
      <c r="A162" t="s">
        <v>340</v>
      </c>
      <c r="B162" t="s">
        <v>341</v>
      </c>
      <c r="C162" t="s">
        <v>405</v>
      </c>
      <c r="D162" t="s">
        <v>19</v>
      </c>
      <c r="E162" t="s">
        <v>32</v>
      </c>
      <c r="F162" t="s">
        <v>25</v>
      </c>
      <c r="G162">
        <v>0</v>
      </c>
      <c r="H162" s="3">
        <v>0</v>
      </c>
      <c r="I162" t="s">
        <v>25</v>
      </c>
      <c r="J162" t="s">
        <v>25</v>
      </c>
      <c r="K162">
        <v>0</v>
      </c>
      <c r="L162">
        <v>0</v>
      </c>
      <c r="M162" t="s">
        <v>25</v>
      </c>
      <c r="N162" t="s">
        <v>25</v>
      </c>
      <c r="O162" t="s">
        <v>106</v>
      </c>
      <c r="P162">
        <v>150</v>
      </c>
    </row>
    <row r="163" spans="1:16" hidden="1" x14ac:dyDescent="0.45">
      <c r="A163" t="s">
        <v>340</v>
      </c>
      <c r="B163" t="s">
        <v>342</v>
      </c>
      <c r="C163" t="s">
        <v>405</v>
      </c>
      <c r="D163" t="s">
        <v>19</v>
      </c>
      <c r="E163" s="1">
        <v>45436</v>
      </c>
      <c r="F163" s="1">
        <v>45426</v>
      </c>
      <c r="G163">
        <v>10</v>
      </c>
      <c r="H163" s="3">
        <v>15</v>
      </c>
      <c r="I163">
        <v>1.5</v>
      </c>
      <c r="J163" s="1">
        <v>45447</v>
      </c>
      <c r="K163">
        <v>10</v>
      </c>
      <c r="L163">
        <v>167</v>
      </c>
      <c r="M163">
        <v>16.7</v>
      </c>
      <c r="N163">
        <v>11.132999999999999</v>
      </c>
    </row>
    <row r="164" spans="1:16" hidden="1" x14ac:dyDescent="0.45">
      <c r="A164" t="s">
        <v>340</v>
      </c>
      <c r="B164" t="s">
        <v>343</v>
      </c>
      <c r="C164" t="s">
        <v>405</v>
      </c>
      <c r="D164" t="s">
        <v>19</v>
      </c>
      <c r="E164" s="1">
        <v>45464</v>
      </c>
      <c r="F164" s="1">
        <v>45454</v>
      </c>
      <c r="G164">
        <v>10</v>
      </c>
      <c r="H164" s="3">
        <v>0</v>
      </c>
      <c r="I164">
        <v>0</v>
      </c>
      <c r="J164" s="1">
        <v>45475</v>
      </c>
      <c r="K164">
        <v>10</v>
      </c>
      <c r="L164">
        <v>6</v>
      </c>
      <c r="M164">
        <v>0.6</v>
      </c>
      <c r="N164" t="s">
        <v>25</v>
      </c>
    </row>
    <row r="165" spans="1:16" hidden="1" x14ac:dyDescent="0.45">
      <c r="A165" t="s">
        <v>344</v>
      </c>
      <c r="B165" t="s">
        <v>345</v>
      </c>
      <c r="C165" t="s">
        <v>405</v>
      </c>
      <c r="D165" t="s">
        <v>19</v>
      </c>
      <c r="E165" t="s">
        <v>32</v>
      </c>
      <c r="F165" t="s">
        <v>25</v>
      </c>
      <c r="G165">
        <v>0</v>
      </c>
      <c r="H165" s="3">
        <v>0</v>
      </c>
      <c r="I165" t="s">
        <v>25</v>
      </c>
      <c r="J165" t="s">
        <v>25</v>
      </c>
      <c r="K165">
        <v>0</v>
      </c>
      <c r="L165">
        <v>0</v>
      </c>
      <c r="M165" t="s">
        <v>25</v>
      </c>
      <c r="N165" t="s">
        <v>25</v>
      </c>
      <c r="O165" t="s">
        <v>106</v>
      </c>
      <c r="P165" t="s">
        <v>346</v>
      </c>
    </row>
    <row r="166" spans="1:16" hidden="1" x14ac:dyDescent="0.45">
      <c r="A166" t="s">
        <v>344</v>
      </c>
      <c r="B166" t="s">
        <v>347</v>
      </c>
      <c r="C166" t="s">
        <v>405</v>
      </c>
      <c r="D166" t="s">
        <v>19</v>
      </c>
      <c r="E166" s="1">
        <v>45437</v>
      </c>
      <c r="F166" s="1">
        <v>45427</v>
      </c>
      <c r="G166">
        <v>10</v>
      </c>
      <c r="H166" s="3">
        <v>0</v>
      </c>
      <c r="I166">
        <v>0</v>
      </c>
      <c r="J166" s="1">
        <v>45448</v>
      </c>
      <c r="K166">
        <v>10</v>
      </c>
      <c r="L166">
        <v>75</v>
      </c>
      <c r="M166">
        <v>7.5</v>
      </c>
      <c r="N166" t="s">
        <v>25</v>
      </c>
    </row>
    <row r="167" spans="1:16" hidden="1" x14ac:dyDescent="0.45">
      <c r="A167" t="s">
        <v>344</v>
      </c>
      <c r="B167" t="s">
        <v>348</v>
      </c>
      <c r="C167" t="s">
        <v>405</v>
      </c>
      <c r="D167" t="s">
        <v>19</v>
      </c>
      <c r="E167" s="1">
        <v>45461</v>
      </c>
      <c r="F167" s="1">
        <v>45451</v>
      </c>
      <c r="G167">
        <v>10</v>
      </c>
      <c r="H167" s="3">
        <v>0</v>
      </c>
      <c r="I167">
        <v>0</v>
      </c>
      <c r="J167" s="1">
        <v>45472</v>
      </c>
      <c r="K167">
        <v>10</v>
      </c>
      <c r="L167">
        <v>15</v>
      </c>
      <c r="M167">
        <v>1.5</v>
      </c>
      <c r="N167" t="s">
        <v>25</v>
      </c>
    </row>
    <row r="168" spans="1:16" x14ac:dyDescent="0.45">
      <c r="A168" t="s">
        <v>349</v>
      </c>
      <c r="B168" t="s">
        <v>350</v>
      </c>
      <c r="D168" t="s">
        <v>19</v>
      </c>
      <c r="E168" s="1">
        <v>45411</v>
      </c>
      <c r="F168" s="1">
        <v>45405</v>
      </c>
      <c r="G168">
        <v>6</v>
      </c>
      <c r="H168" s="3">
        <v>100</v>
      </c>
      <c r="I168">
        <v>16.667000000000002</v>
      </c>
      <c r="J168" s="1">
        <v>45422</v>
      </c>
      <c r="K168">
        <v>10</v>
      </c>
      <c r="L168">
        <v>283</v>
      </c>
      <c r="M168">
        <v>28.3</v>
      </c>
      <c r="N168">
        <v>1.698</v>
      </c>
    </row>
    <row r="169" spans="1:16" x14ac:dyDescent="0.45">
      <c r="A169" t="s">
        <v>349</v>
      </c>
      <c r="B169" t="s">
        <v>351</v>
      </c>
      <c r="D169" t="s">
        <v>19</v>
      </c>
      <c r="E169" s="1">
        <v>45447</v>
      </c>
      <c r="F169" s="1">
        <v>45437</v>
      </c>
      <c r="G169">
        <v>10</v>
      </c>
      <c r="H169" s="3">
        <v>99</v>
      </c>
      <c r="I169">
        <v>9.9</v>
      </c>
      <c r="J169" s="1">
        <v>45458</v>
      </c>
      <c r="K169">
        <v>10</v>
      </c>
      <c r="L169">
        <v>318</v>
      </c>
      <c r="M169">
        <v>31.8</v>
      </c>
      <c r="N169">
        <v>3.2120000000000002</v>
      </c>
    </row>
    <row r="170" spans="1:16" x14ac:dyDescent="0.45">
      <c r="A170" t="s">
        <v>352</v>
      </c>
      <c r="B170" t="s">
        <v>353</v>
      </c>
      <c r="D170" s="2" t="s">
        <v>46</v>
      </c>
      <c r="E170" s="1">
        <v>45454</v>
      </c>
      <c r="F170" s="1">
        <v>45444</v>
      </c>
      <c r="G170">
        <v>10</v>
      </c>
      <c r="H170" s="3">
        <v>230</v>
      </c>
      <c r="I170">
        <v>23</v>
      </c>
      <c r="J170" s="1">
        <v>45465</v>
      </c>
      <c r="K170">
        <v>10</v>
      </c>
      <c r="L170">
        <v>26</v>
      </c>
      <c r="M170">
        <v>2.6</v>
      </c>
      <c r="N170">
        <v>0.113</v>
      </c>
    </row>
    <row r="171" spans="1:16" hidden="1" x14ac:dyDescent="0.45">
      <c r="A171" t="s">
        <v>354</v>
      </c>
      <c r="B171" t="s">
        <v>355</v>
      </c>
      <c r="C171" t="s">
        <v>405</v>
      </c>
      <c r="D171" t="s">
        <v>23</v>
      </c>
      <c r="E171" t="s">
        <v>24</v>
      </c>
      <c r="F171" t="s">
        <v>25</v>
      </c>
      <c r="G171">
        <v>0</v>
      </c>
      <c r="H171">
        <v>0</v>
      </c>
      <c r="I171" t="s">
        <v>25</v>
      </c>
      <c r="J171" t="s">
        <v>25</v>
      </c>
      <c r="K171">
        <v>0</v>
      </c>
      <c r="L171">
        <v>0</v>
      </c>
      <c r="M171" t="s">
        <v>25</v>
      </c>
      <c r="N171" t="s">
        <v>25</v>
      </c>
      <c r="O171" t="s">
        <v>41</v>
      </c>
      <c r="P171" t="s">
        <v>23</v>
      </c>
    </row>
    <row r="172" spans="1:16" hidden="1" x14ac:dyDescent="0.45">
      <c r="A172" t="s">
        <v>356</v>
      </c>
      <c r="B172" t="s">
        <v>357</v>
      </c>
      <c r="C172" t="s">
        <v>405</v>
      </c>
      <c r="D172" t="s">
        <v>19</v>
      </c>
      <c r="E172" s="1">
        <v>45443</v>
      </c>
      <c r="F172" s="1">
        <v>45433</v>
      </c>
      <c r="G172">
        <v>10</v>
      </c>
      <c r="H172" s="3">
        <v>12</v>
      </c>
      <c r="I172">
        <v>1.2</v>
      </c>
      <c r="J172" s="1">
        <v>45454</v>
      </c>
      <c r="K172">
        <v>10</v>
      </c>
      <c r="L172">
        <v>29</v>
      </c>
      <c r="M172">
        <v>2.9</v>
      </c>
      <c r="N172">
        <v>2.4169999999999998</v>
      </c>
    </row>
    <row r="173" spans="1:16" hidden="1" x14ac:dyDescent="0.45">
      <c r="A173" t="s">
        <v>358</v>
      </c>
      <c r="B173" t="s">
        <v>359</v>
      </c>
      <c r="C173" t="s">
        <v>405</v>
      </c>
      <c r="D173" t="s">
        <v>23</v>
      </c>
      <c r="E173" t="s">
        <v>24</v>
      </c>
      <c r="F173" t="s">
        <v>25</v>
      </c>
      <c r="G173">
        <v>0</v>
      </c>
      <c r="H173">
        <v>0</v>
      </c>
      <c r="I173" t="s">
        <v>25</v>
      </c>
      <c r="J173" t="s">
        <v>25</v>
      </c>
      <c r="K173">
        <v>0</v>
      </c>
      <c r="L173">
        <v>0</v>
      </c>
      <c r="M173" t="s">
        <v>25</v>
      </c>
      <c r="N173" t="s">
        <v>25</v>
      </c>
      <c r="O173" t="s">
        <v>115</v>
      </c>
      <c r="P173" t="s">
        <v>115</v>
      </c>
    </row>
    <row r="174" spans="1:16" hidden="1" x14ac:dyDescent="0.45">
      <c r="A174" t="s">
        <v>360</v>
      </c>
      <c r="B174" t="s">
        <v>361</v>
      </c>
      <c r="C174" t="s">
        <v>405</v>
      </c>
      <c r="D174" t="s">
        <v>46</v>
      </c>
      <c r="E174" s="1">
        <v>45417</v>
      </c>
      <c r="F174" s="1">
        <v>45407</v>
      </c>
      <c r="G174">
        <v>10</v>
      </c>
      <c r="H174" s="3">
        <v>11</v>
      </c>
      <c r="I174">
        <v>1.1000000000000001</v>
      </c>
      <c r="J174" s="1">
        <v>45428</v>
      </c>
      <c r="K174">
        <v>10</v>
      </c>
      <c r="L174">
        <v>0</v>
      </c>
      <c r="M174">
        <v>0</v>
      </c>
      <c r="N174">
        <v>0</v>
      </c>
    </row>
    <row r="175" spans="1:16" x14ac:dyDescent="0.45">
      <c r="A175" t="s">
        <v>360</v>
      </c>
      <c r="B175" t="s">
        <v>362</v>
      </c>
      <c r="D175" t="s">
        <v>19</v>
      </c>
      <c r="E175" s="1">
        <v>45453</v>
      </c>
      <c r="F175" s="1">
        <v>45443</v>
      </c>
      <c r="G175">
        <v>10</v>
      </c>
      <c r="H175" s="3">
        <v>340</v>
      </c>
      <c r="I175">
        <v>34</v>
      </c>
      <c r="J175" s="1">
        <v>45464</v>
      </c>
      <c r="K175">
        <v>10</v>
      </c>
      <c r="L175">
        <v>192</v>
      </c>
      <c r="M175">
        <v>19.2</v>
      </c>
      <c r="N175">
        <v>0.56499999999999995</v>
      </c>
    </row>
    <row r="176" spans="1:16" hidden="1" x14ac:dyDescent="0.45">
      <c r="A176" t="s">
        <v>363</v>
      </c>
      <c r="B176" t="s">
        <v>364</v>
      </c>
      <c r="C176" t="s">
        <v>405</v>
      </c>
      <c r="D176" t="s">
        <v>118</v>
      </c>
      <c r="E176" t="s">
        <v>24</v>
      </c>
      <c r="F176" t="s">
        <v>25</v>
      </c>
      <c r="G176">
        <v>0</v>
      </c>
      <c r="H176">
        <v>0</v>
      </c>
      <c r="I176" t="s">
        <v>25</v>
      </c>
      <c r="J176" t="s">
        <v>25</v>
      </c>
      <c r="K176">
        <v>0</v>
      </c>
      <c r="L176">
        <v>0</v>
      </c>
      <c r="M176" t="s">
        <v>25</v>
      </c>
      <c r="N176" t="s">
        <v>25</v>
      </c>
      <c r="O176" t="s">
        <v>26</v>
      </c>
      <c r="P176" t="s">
        <v>23</v>
      </c>
    </row>
    <row r="177" spans="1:16" hidden="1" x14ac:dyDescent="0.45">
      <c r="A177" t="s">
        <v>365</v>
      </c>
      <c r="B177" t="s">
        <v>366</v>
      </c>
      <c r="C177" t="s">
        <v>405</v>
      </c>
      <c r="D177" t="s">
        <v>19</v>
      </c>
      <c r="E177" t="s">
        <v>24</v>
      </c>
      <c r="F177" t="s">
        <v>25</v>
      </c>
      <c r="G177">
        <v>0</v>
      </c>
      <c r="H177" s="3">
        <v>0</v>
      </c>
      <c r="I177" t="s">
        <v>25</v>
      </c>
      <c r="J177" t="s">
        <v>25</v>
      </c>
      <c r="K177">
        <v>0</v>
      </c>
      <c r="L177">
        <v>0</v>
      </c>
      <c r="M177" t="s">
        <v>25</v>
      </c>
      <c r="N177" t="s">
        <v>25</v>
      </c>
      <c r="O177" t="s">
        <v>367</v>
      </c>
      <c r="P177">
        <v>5000</v>
      </c>
    </row>
    <row r="178" spans="1:16" hidden="1" x14ac:dyDescent="0.45">
      <c r="A178" t="s">
        <v>368</v>
      </c>
      <c r="B178" t="s">
        <v>369</v>
      </c>
      <c r="C178" t="s">
        <v>405</v>
      </c>
      <c r="D178" t="s">
        <v>118</v>
      </c>
      <c r="E178" t="s">
        <v>24</v>
      </c>
      <c r="F178" t="s">
        <v>25</v>
      </c>
      <c r="G178">
        <v>0</v>
      </c>
      <c r="H178">
        <v>0</v>
      </c>
      <c r="I178" t="s">
        <v>25</v>
      </c>
      <c r="J178" t="s">
        <v>25</v>
      </c>
      <c r="K178">
        <v>0</v>
      </c>
      <c r="L178">
        <v>0</v>
      </c>
      <c r="M178" t="s">
        <v>25</v>
      </c>
      <c r="N178" t="s">
        <v>25</v>
      </c>
      <c r="O178" t="s">
        <v>106</v>
      </c>
      <c r="P178" t="s">
        <v>115</v>
      </c>
    </row>
    <row r="179" spans="1:16" hidden="1" x14ac:dyDescent="0.45">
      <c r="A179" t="s">
        <v>370</v>
      </c>
      <c r="B179" t="s">
        <v>371</v>
      </c>
      <c r="C179" t="s">
        <v>405</v>
      </c>
      <c r="D179" t="s">
        <v>19</v>
      </c>
      <c r="E179" t="s">
        <v>32</v>
      </c>
      <c r="F179" t="s">
        <v>25</v>
      </c>
      <c r="G179">
        <v>0</v>
      </c>
      <c r="H179" s="3">
        <v>0</v>
      </c>
      <c r="I179" t="s">
        <v>25</v>
      </c>
      <c r="J179" t="s">
        <v>25</v>
      </c>
      <c r="K179">
        <v>0</v>
      </c>
      <c r="L179">
        <v>0</v>
      </c>
      <c r="M179" t="s">
        <v>25</v>
      </c>
      <c r="N179" t="s">
        <v>25</v>
      </c>
      <c r="O179" t="s">
        <v>181</v>
      </c>
      <c r="P179">
        <v>500</v>
      </c>
    </row>
    <row r="180" spans="1:16" hidden="1" x14ac:dyDescent="0.45">
      <c r="A180" t="s">
        <v>372</v>
      </c>
      <c r="B180" t="s">
        <v>373</v>
      </c>
      <c r="C180" t="s">
        <v>405</v>
      </c>
      <c r="D180" t="s">
        <v>23</v>
      </c>
      <c r="E180" t="s">
        <v>24</v>
      </c>
      <c r="F180" t="s">
        <v>25</v>
      </c>
      <c r="G180">
        <v>0</v>
      </c>
      <c r="H180">
        <v>0</v>
      </c>
      <c r="I180" t="s">
        <v>25</v>
      </c>
      <c r="J180" t="s">
        <v>25</v>
      </c>
      <c r="K180">
        <v>0</v>
      </c>
      <c r="L180">
        <v>0</v>
      </c>
      <c r="M180" t="s">
        <v>25</v>
      </c>
      <c r="N180" t="s">
        <v>25</v>
      </c>
      <c r="O180" t="s">
        <v>374</v>
      </c>
      <c r="P180">
        <v>6000</v>
      </c>
    </row>
    <row r="181" spans="1:16" hidden="1" x14ac:dyDescent="0.45">
      <c r="A181" t="s">
        <v>375</v>
      </c>
      <c r="B181" t="s">
        <v>376</v>
      </c>
      <c r="C181" t="s">
        <v>405</v>
      </c>
      <c r="D181" t="s">
        <v>19</v>
      </c>
      <c r="E181" s="1">
        <v>45414</v>
      </c>
      <c r="F181" s="1">
        <v>45404</v>
      </c>
      <c r="G181">
        <v>10</v>
      </c>
      <c r="H181" s="3">
        <v>43</v>
      </c>
      <c r="I181">
        <v>4.3</v>
      </c>
      <c r="J181" s="1">
        <v>45425</v>
      </c>
      <c r="K181">
        <v>10</v>
      </c>
      <c r="L181">
        <v>93</v>
      </c>
      <c r="M181">
        <v>9.3000000000000007</v>
      </c>
      <c r="N181">
        <v>2.1629999999999998</v>
      </c>
    </row>
    <row r="182" spans="1:16" hidden="1" x14ac:dyDescent="0.45">
      <c r="A182" t="s">
        <v>377</v>
      </c>
      <c r="B182" t="s">
        <v>378</v>
      </c>
      <c r="C182" t="s">
        <v>405</v>
      </c>
      <c r="D182" t="s">
        <v>118</v>
      </c>
      <c r="E182" t="s">
        <v>24</v>
      </c>
      <c r="F182" t="s">
        <v>25</v>
      </c>
      <c r="G182">
        <v>0</v>
      </c>
      <c r="H182">
        <v>0</v>
      </c>
      <c r="I182" t="s">
        <v>25</v>
      </c>
      <c r="J182" t="s">
        <v>25</v>
      </c>
      <c r="K182">
        <v>0</v>
      </c>
      <c r="L182">
        <v>0</v>
      </c>
      <c r="M182" t="s">
        <v>25</v>
      </c>
      <c r="N182" t="s">
        <v>25</v>
      </c>
      <c r="O182" t="s">
        <v>379</v>
      </c>
      <c r="P182" t="s">
        <v>115</v>
      </c>
    </row>
    <row r="183" spans="1:16" x14ac:dyDescent="0.45">
      <c r="A183" t="s">
        <v>380</v>
      </c>
      <c r="B183" t="s">
        <v>381</v>
      </c>
      <c r="D183" t="s">
        <v>19</v>
      </c>
      <c r="E183" s="1">
        <v>45411</v>
      </c>
      <c r="F183" s="1">
        <v>45401</v>
      </c>
      <c r="G183">
        <v>10</v>
      </c>
      <c r="H183" s="3">
        <v>277</v>
      </c>
      <c r="I183">
        <v>27.7</v>
      </c>
      <c r="J183" s="1">
        <v>45422</v>
      </c>
      <c r="K183">
        <v>10</v>
      </c>
      <c r="L183">
        <v>247</v>
      </c>
      <c r="M183">
        <v>24.7</v>
      </c>
      <c r="N183">
        <v>0.89200000000000002</v>
      </c>
    </row>
    <row r="184" spans="1:16" hidden="1" x14ac:dyDescent="0.45">
      <c r="A184" t="s">
        <v>382</v>
      </c>
      <c r="B184" t="s">
        <v>383</v>
      </c>
      <c r="C184" t="s">
        <v>405</v>
      </c>
      <c r="D184" t="s">
        <v>19</v>
      </c>
      <c r="E184" t="s">
        <v>24</v>
      </c>
      <c r="F184" t="s">
        <v>25</v>
      </c>
      <c r="G184">
        <v>0</v>
      </c>
      <c r="H184" s="3">
        <v>0</v>
      </c>
      <c r="I184" t="s">
        <v>25</v>
      </c>
      <c r="J184" t="s">
        <v>25</v>
      </c>
      <c r="K184">
        <v>0</v>
      </c>
      <c r="L184">
        <v>0</v>
      </c>
      <c r="M184" t="s">
        <v>25</v>
      </c>
      <c r="N184" t="s">
        <v>25</v>
      </c>
      <c r="O184" t="s">
        <v>115</v>
      </c>
      <c r="P184" t="s">
        <v>115</v>
      </c>
    </row>
    <row r="185" spans="1:16" hidden="1" x14ac:dyDescent="0.45">
      <c r="A185" t="s">
        <v>382</v>
      </c>
      <c r="B185" t="s">
        <v>384</v>
      </c>
      <c r="C185" t="s">
        <v>405</v>
      </c>
      <c r="D185" t="s">
        <v>19</v>
      </c>
      <c r="E185" s="1">
        <v>45438</v>
      </c>
      <c r="F185" s="1">
        <v>45428</v>
      </c>
      <c r="G185">
        <v>10</v>
      </c>
      <c r="H185" s="3">
        <v>4</v>
      </c>
      <c r="I185">
        <v>0.4</v>
      </c>
      <c r="J185" s="1">
        <v>45449</v>
      </c>
      <c r="K185">
        <v>10</v>
      </c>
      <c r="L185">
        <v>5</v>
      </c>
      <c r="M185">
        <v>0.5</v>
      </c>
      <c r="N185">
        <v>1.25</v>
      </c>
    </row>
    <row r="186" spans="1:16" hidden="1" x14ac:dyDescent="0.45">
      <c r="A186" t="s">
        <v>385</v>
      </c>
      <c r="B186" t="s">
        <v>386</v>
      </c>
      <c r="C186" t="s">
        <v>405</v>
      </c>
      <c r="D186" t="s">
        <v>23</v>
      </c>
      <c r="E186" t="s">
        <v>24</v>
      </c>
      <c r="F186" t="s">
        <v>25</v>
      </c>
      <c r="G186">
        <v>0</v>
      </c>
      <c r="H186">
        <v>0</v>
      </c>
      <c r="I186" t="s">
        <v>25</v>
      </c>
      <c r="J186" t="s">
        <v>25</v>
      </c>
      <c r="K186">
        <v>0</v>
      </c>
      <c r="L186">
        <v>0</v>
      </c>
      <c r="M186" t="s">
        <v>25</v>
      </c>
      <c r="N186" t="s">
        <v>25</v>
      </c>
      <c r="O186" t="s">
        <v>115</v>
      </c>
      <c r="P186" t="s">
        <v>115</v>
      </c>
    </row>
    <row r="187" spans="1:16" hidden="1" x14ac:dyDescent="0.45">
      <c r="A187" t="s">
        <v>387</v>
      </c>
      <c r="B187" t="s">
        <v>388</v>
      </c>
      <c r="C187" t="s">
        <v>405</v>
      </c>
      <c r="D187" t="s">
        <v>19</v>
      </c>
      <c r="E187" s="1">
        <v>45402</v>
      </c>
      <c r="F187" s="1">
        <v>45392</v>
      </c>
      <c r="G187">
        <v>10</v>
      </c>
      <c r="H187" s="3">
        <v>12</v>
      </c>
      <c r="I187">
        <v>1.2</v>
      </c>
      <c r="J187" s="1">
        <v>45413</v>
      </c>
      <c r="K187">
        <v>10</v>
      </c>
      <c r="L187">
        <v>130</v>
      </c>
      <c r="M187">
        <v>13</v>
      </c>
      <c r="N187">
        <v>10.833</v>
      </c>
    </row>
    <row r="188" spans="1:16" hidden="1" x14ac:dyDescent="0.45">
      <c r="A188" t="s">
        <v>389</v>
      </c>
      <c r="B188" t="s">
        <v>390</v>
      </c>
      <c r="C188" t="s">
        <v>405</v>
      </c>
      <c r="D188" t="s">
        <v>19</v>
      </c>
      <c r="E188" t="s">
        <v>32</v>
      </c>
      <c r="F188" t="s">
        <v>25</v>
      </c>
      <c r="G188">
        <v>0</v>
      </c>
      <c r="H188" s="3">
        <v>0</v>
      </c>
      <c r="I188" t="s">
        <v>25</v>
      </c>
      <c r="J188" t="s">
        <v>25</v>
      </c>
      <c r="K188">
        <v>0</v>
      </c>
      <c r="L188">
        <v>0</v>
      </c>
      <c r="M188" t="s">
        <v>25</v>
      </c>
      <c r="N188" t="s">
        <v>25</v>
      </c>
      <c r="O188" t="s">
        <v>207</v>
      </c>
      <c r="P188">
        <v>80</v>
      </c>
    </row>
    <row r="189" spans="1:16" hidden="1" x14ac:dyDescent="0.45">
      <c r="A189" t="s">
        <v>391</v>
      </c>
      <c r="B189" t="s">
        <v>392</v>
      </c>
      <c r="C189" t="s">
        <v>405</v>
      </c>
      <c r="D189" t="s">
        <v>19</v>
      </c>
      <c r="E189" s="1">
        <v>45491</v>
      </c>
      <c r="F189" s="1">
        <v>45481</v>
      </c>
      <c r="G189">
        <v>10</v>
      </c>
      <c r="H189" s="3">
        <v>10</v>
      </c>
      <c r="I189">
        <v>1</v>
      </c>
      <c r="J189" s="1">
        <v>45502</v>
      </c>
      <c r="K189">
        <v>10</v>
      </c>
      <c r="L189">
        <v>42</v>
      </c>
      <c r="M189">
        <v>4.2</v>
      </c>
      <c r="N189">
        <v>4.2</v>
      </c>
    </row>
    <row r="190" spans="1:16" hidden="1" x14ac:dyDescent="0.45">
      <c r="A190" t="s">
        <v>393</v>
      </c>
      <c r="B190" t="s">
        <v>394</v>
      </c>
      <c r="C190" t="s">
        <v>405</v>
      </c>
      <c r="D190" s="2" t="s">
        <v>46</v>
      </c>
      <c r="E190" s="1">
        <v>45422</v>
      </c>
      <c r="F190" s="1">
        <v>45412</v>
      </c>
      <c r="G190">
        <v>10</v>
      </c>
      <c r="H190" s="3">
        <v>46</v>
      </c>
      <c r="I190">
        <v>4.5999999999999996</v>
      </c>
      <c r="J190" s="1">
        <v>45433</v>
      </c>
      <c r="K190">
        <v>10</v>
      </c>
      <c r="L190">
        <v>13</v>
      </c>
      <c r="M190">
        <v>1.3</v>
      </c>
      <c r="N190">
        <v>0.28299999999999997</v>
      </c>
    </row>
    <row r="191" spans="1:16" hidden="1" x14ac:dyDescent="0.45">
      <c r="A191" t="s">
        <v>395</v>
      </c>
      <c r="B191" t="s">
        <v>396</v>
      </c>
      <c r="C191" t="s">
        <v>405</v>
      </c>
      <c r="D191" t="s">
        <v>19</v>
      </c>
      <c r="E191" t="s">
        <v>32</v>
      </c>
      <c r="F191" t="s">
        <v>25</v>
      </c>
      <c r="G191">
        <v>0</v>
      </c>
      <c r="H191" s="3">
        <v>0</v>
      </c>
      <c r="I191" t="s">
        <v>25</v>
      </c>
      <c r="J191" t="s">
        <v>25</v>
      </c>
      <c r="K191">
        <v>0</v>
      </c>
      <c r="L191">
        <v>0</v>
      </c>
      <c r="M191" t="s">
        <v>25</v>
      </c>
      <c r="N191" t="s">
        <v>25</v>
      </c>
      <c r="O191" t="s">
        <v>115</v>
      </c>
      <c r="P191" t="s">
        <v>115</v>
      </c>
    </row>
    <row r="192" spans="1:16" hidden="1" x14ac:dyDescent="0.45">
      <c r="A192" t="s">
        <v>397</v>
      </c>
      <c r="B192" t="s">
        <v>398</v>
      </c>
      <c r="C192" t="s">
        <v>405</v>
      </c>
      <c r="D192" t="s">
        <v>19</v>
      </c>
      <c r="E192" t="s">
        <v>32</v>
      </c>
      <c r="F192" t="s">
        <v>25</v>
      </c>
      <c r="G192">
        <v>0</v>
      </c>
      <c r="H192" s="3">
        <v>0</v>
      </c>
      <c r="I192" t="s">
        <v>25</v>
      </c>
      <c r="J192" t="s">
        <v>25</v>
      </c>
      <c r="K192">
        <v>0</v>
      </c>
      <c r="L192">
        <v>0</v>
      </c>
      <c r="M192" t="s">
        <v>25</v>
      </c>
      <c r="N192" t="s">
        <v>25</v>
      </c>
      <c r="O192" t="s">
        <v>115</v>
      </c>
      <c r="P192" t="s">
        <v>115</v>
      </c>
    </row>
    <row r="193" spans="1:16" hidden="1" x14ac:dyDescent="0.45">
      <c r="A193" t="s">
        <v>397</v>
      </c>
      <c r="B193" t="s">
        <v>399</v>
      </c>
      <c r="C193" t="s">
        <v>405</v>
      </c>
      <c r="D193" t="s">
        <v>19</v>
      </c>
      <c r="E193" s="1">
        <v>45437</v>
      </c>
      <c r="F193" s="1">
        <v>45427</v>
      </c>
      <c r="G193">
        <v>10</v>
      </c>
      <c r="H193" s="3">
        <v>31</v>
      </c>
      <c r="I193">
        <v>3.1</v>
      </c>
      <c r="J193" s="1">
        <v>45448</v>
      </c>
      <c r="K193">
        <v>10</v>
      </c>
      <c r="L193">
        <v>164</v>
      </c>
      <c r="M193">
        <v>16.399999999999999</v>
      </c>
      <c r="N193">
        <v>5.29</v>
      </c>
    </row>
    <row r="194" spans="1:16" hidden="1" x14ac:dyDescent="0.45">
      <c r="A194" t="s">
        <v>400</v>
      </c>
      <c r="B194" t="s">
        <v>401</v>
      </c>
      <c r="C194" t="s">
        <v>405</v>
      </c>
      <c r="D194" t="s">
        <v>19</v>
      </c>
      <c r="E194" t="s">
        <v>32</v>
      </c>
      <c r="F194" t="s">
        <v>25</v>
      </c>
      <c r="G194">
        <v>0</v>
      </c>
      <c r="H194" s="3">
        <v>0</v>
      </c>
      <c r="I194" t="s">
        <v>25</v>
      </c>
      <c r="J194" t="s">
        <v>25</v>
      </c>
      <c r="K194">
        <v>0</v>
      </c>
      <c r="L194">
        <v>0</v>
      </c>
      <c r="M194" t="s">
        <v>25</v>
      </c>
      <c r="N194" t="s">
        <v>25</v>
      </c>
      <c r="O194" t="s">
        <v>115</v>
      </c>
      <c r="P194" t="s">
        <v>115</v>
      </c>
    </row>
    <row r="195" spans="1:16" hidden="1" x14ac:dyDescent="0.45">
      <c r="A195" t="s">
        <v>402</v>
      </c>
      <c r="B195" t="s">
        <v>403</v>
      </c>
      <c r="C195" t="s">
        <v>405</v>
      </c>
      <c r="D195" t="s">
        <v>19</v>
      </c>
      <c r="E195" t="s">
        <v>32</v>
      </c>
      <c r="F195" t="s">
        <v>25</v>
      </c>
      <c r="G195">
        <v>0</v>
      </c>
      <c r="H195" s="3">
        <v>0</v>
      </c>
      <c r="I195" t="s">
        <v>25</v>
      </c>
      <c r="J195" t="s">
        <v>25</v>
      </c>
      <c r="K195">
        <v>0</v>
      </c>
      <c r="L195">
        <v>0</v>
      </c>
      <c r="M195" t="s">
        <v>25</v>
      </c>
      <c r="N195" t="s">
        <v>25</v>
      </c>
      <c r="O195" t="s">
        <v>115</v>
      </c>
      <c r="P195" t="s">
        <v>115</v>
      </c>
    </row>
  </sheetData>
  <autoFilter ref="A1:P195" xr:uid="{644C22D3-9B0F-4F65-80DD-DBC73FC2E232}">
    <filterColumn colId="2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7AC0F-BDFF-4634-BB38-CF40B1B8FBCC}">
  <dimension ref="A1:R73"/>
  <sheetViews>
    <sheetView tabSelected="1" topLeftCell="A44" workbookViewId="0">
      <selection activeCell="A73" sqref="A73"/>
    </sheetView>
  </sheetViews>
  <sheetFormatPr defaultRowHeight="14.25" x14ac:dyDescent="0.45"/>
  <cols>
    <col min="1" max="1" width="39" bestFit="1" customWidth="1"/>
    <col min="2" max="2" width="18.6640625" customWidth="1"/>
    <col min="17" max="17" width="22.86328125" bestFit="1" customWidth="1"/>
  </cols>
  <sheetData>
    <row r="1" spans="1:18" x14ac:dyDescent="0.45">
      <c r="A1" t="s">
        <v>0</v>
      </c>
      <c r="B1" t="s">
        <v>423</v>
      </c>
      <c r="C1" t="s">
        <v>1</v>
      </c>
      <c r="D1" t="s">
        <v>404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R1" t="s">
        <v>406</v>
      </c>
    </row>
    <row r="2" spans="1:18" x14ac:dyDescent="0.45">
      <c r="A2" t="s">
        <v>15</v>
      </c>
      <c r="B2" t="str">
        <f>CONCATENATE(A2,RIGHT(C2,3))</f>
        <v>2017 Rush Ranch p2</v>
      </c>
      <c r="C2" t="s">
        <v>18</v>
      </c>
      <c r="E2" t="s">
        <v>19</v>
      </c>
      <c r="F2" s="1">
        <v>42885</v>
      </c>
      <c r="G2" s="1">
        <v>42875</v>
      </c>
      <c r="H2">
        <v>10</v>
      </c>
      <c r="I2" s="3">
        <v>162</v>
      </c>
      <c r="J2">
        <v>16.2</v>
      </c>
      <c r="K2" s="1">
        <v>42896</v>
      </c>
      <c r="L2">
        <v>10</v>
      </c>
      <c r="M2">
        <v>179</v>
      </c>
      <c r="N2">
        <v>17.899999999999999</v>
      </c>
      <c r="O2">
        <v>1.105</v>
      </c>
      <c r="Q2" t="str">
        <f>IF(ISNA(VLOOKUP(R2,B:B,1,FALSE)),(IF(ISNA(VLOOKUP(R2,C:C,1,FALSE)),"Missing","")), "")</f>
        <v/>
      </c>
      <c r="R2" t="s">
        <v>18</v>
      </c>
    </row>
    <row r="3" spans="1:18" x14ac:dyDescent="0.45">
      <c r="A3" t="s">
        <v>15</v>
      </c>
      <c r="B3" t="str">
        <f t="shared" ref="B3:B66" si="0">CONCATENATE(A3,RIGHT(C3,3))</f>
        <v>2017 Rush Ranch p3</v>
      </c>
      <c r="C3" t="s">
        <v>20</v>
      </c>
      <c r="E3" t="s">
        <v>19</v>
      </c>
      <c r="F3" s="1">
        <v>42915</v>
      </c>
      <c r="G3" s="1">
        <v>42905</v>
      </c>
      <c r="H3">
        <v>10</v>
      </c>
      <c r="I3" s="3">
        <v>157</v>
      </c>
      <c r="J3">
        <v>15.7</v>
      </c>
      <c r="K3" s="1">
        <v>42922</v>
      </c>
      <c r="L3">
        <v>6</v>
      </c>
      <c r="M3">
        <v>22</v>
      </c>
      <c r="N3">
        <v>3.6669999999999998</v>
      </c>
      <c r="O3">
        <v>0.23400000000000001</v>
      </c>
      <c r="Q3" t="str">
        <f t="shared" ref="Q3:Q66" si="1">IF(ISNA(VLOOKUP(R3,B:B,1,FALSE)),(IF(ISNA(VLOOKUP(R3,C:C,1,FALSE)),"Missing","")), "")</f>
        <v/>
      </c>
      <c r="R3" t="s">
        <v>34</v>
      </c>
    </row>
    <row r="4" spans="1:18" x14ac:dyDescent="0.45">
      <c r="A4" t="s">
        <v>33</v>
      </c>
      <c r="B4" t="str">
        <f t="shared" si="0"/>
        <v>2018 Red Wing Ranch p1</v>
      </c>
      <c r="C4" t="s">
        <v>34</v>
      </c>
      <c r="E4" s="2" t="s">
        <v>17</v>
      </c>
      <c r="F4" s="1">
        <v>43237</v>
      </c>
      <c r="G4" s="1">
        <v>43227</v>
      </c>
      <c r="H4">
        <v>10</v>
      </c>
      <c r="I4" s="3">
        <v>195</v>
      </c>
      <c r="J4">
        <v>19.5</v>
      </c>
      <c r="K4" s="1">
        <v>43248</v>
      </c>
      <c r="L4">
        <v>10</v>
      </c>
      <c r="M4">
        <v>0</v>
      </c>
      <c r="N4">
        <v>0</v>
      </c>
      <c r="O4">
        <v>0</v>
      </c>
      <c r="Q4" t="str">
        <f t="shared" si="1"/>
        <v/>
      </c>
      <c r="R4" t="s">
        <v>36</v>
      </c>
    </row>
    <row r="5" spans="1:18" x14ac:dyDescent="0.45">
      <c r="A5" t="s">
        <v>35</v>
      </c>
      <c r="B5" t="str">
        <f t="shared" si="0"/>
        <v>2018 Rush Ranch p1</v>
      </c>
      <c r="C5" t="s">
        <v>36</v>
      </c>
      <c r="E5" t="s">
        <v>19</v>
      </c>
      <c r="F5" s="1">
        <v>43245</v>
      </c>
      <c r="G5" s="1">
        <v>43235</v>
      </c>
      <c r="H5">
        <v>10</v>
      </c>
      <c r="I5" s="3">
        <v>54</v>
      </c>
      <c r="J5">
        <v>5.4</v>
      </c>
      <c r="K5" s="1">
        <v>43256</v>
      </c>
      <c r="L5">
        <v>10</v>
      </c>
      <c r="M5">
        <v>31</v>
      </c>
      <c r="N5">
        <v>3.1</v>
      </c>
      <c r="O5">
        <v>0.57399999999999995</v>
      </c>
      <c r="Q5" t="str">
        <f t="shared" si="1"/>
        <v/>
      </c>
      <c r="R5" t="s">
        <v>38</v>
      </c>
    </row>
    <row r="6" spans="1:18" x14ac:dyDescent="0.45">
      <c r="A6" t="s">
        <v>37</v>
      </c>
      <c r="B6" t="str">
        <f t="shared" si="0"/>
        <v>2018 SJWA WSS p1</v>
      </c>
      <c r="C6" t="s">
        <v>38</v>
      </c>
      <c r="E6" s="2" t="s">
        <v>17</v>
      </c>
      <c r="F6" s="1">
        <v>43214</v>
      </c>
      <c r="G6" s="1">
        <v>43204</v>
      </c>
      <c r="H6">
        <v>10</v>
      </c>
      <c r="I6" s="3">
        <v>84</v>
      </c>
      <c r="J6">
        <v>8.4</v>
      </c>
      <c r="K6" s="1">
        <v>43221</v>
      </c>
      <c r="L6">
        <v>6</v>
      </c>
      <c r="M6">
        <v>0</v>
      </c>
      <c r="N6">
        <v>0</v>
      </c>
      <c r="O6">
        <v>0</v>
      </c>
      <c r="Q6" t="str">
        <f t="shared" si="1"/>
        <v>Missing</v>
      </c>
      <c r="R6" t="s">
        <v>45</v>
      </c>
    </row>
    <row r="7" spans="1:18" x14ac:dyDescent="0.45">
      <c r="A7" t="s">
        <v>47</v>
      </c>
      <c r="B7" t="str">
        <f t="shared" si="0"/>
        <v>2019 Creed Road p1</v>
      </c>
      <c r="C7" t="s">
        <v>48</v>
      </c>
      <c r="E7" t="s">
        <v>19</v>
      </c>
      <c r="F7" s="1">
        <v>43595</v>
      </c>
      <c r="G7" s="1">
        <v>43585</v>
      </c>
      <c r="H7">
        <v>10</v>
      </c>
      <c r="I7" s="3">
        <v>65</v>
      </c>
      <c r="J7">
        <v>6.5</v>
      </c>
      <c r="K7" s="1">
        <v>43606</v>
      </c>
      <c r="L7">
        <v>10</v>
      </c>
      <c r="M7">
        <v>42</v>
      </c>
      <c r="N7">
        <v>4.2</v>
      </c>
      <c r="O7">
        <v>0.64600000000000002</v>
      </c>
      <c r="Q7" t="str">
        <f t="shared" si="1"/>
        <v/>
      </c>
      <c r="R7" t="s">
        <v>48</v>
      </c>
    </row>
    <row r="8" spans="1:18" x14ac:dyDescent="0.45">
      <c r="A8" t="s">
        <v>47</v>
      </c>
      <c r="B8" t="str">
        <f t="shared" si="0"/>
        <v>2019 Creed Road p2</v>
      </c>
      <c r="C8" t="s">
        <v>49</v>
      </c>
      <c r="E8" s="2" t="s">
        <v>17</v>
      </c>
      <c r="F8" s="1">
        <v>43616</v>
      </c>
      <c r="G8" s="1">
        <v>43606</v>
      </c>
      <c r="H8">
        <v>10</v>
      </c>
      <c r="I8" s="3">
        <v>108</v>
      </c>
      <c r="J8">
        <v>10.8</v>
      </c>
      <c r="K8" s="1">
        <v>43627</v>
      </c>
      <c r="L8">
        <v>10</v>
      </c>
      <c r="M8">
        <v>0</v>
      </c>
      <c r="N8">
        <v>0</v>
      </c>
      <c r="O8">
        <v>0</v>
      </c>
      <c r="Q8" t="str">
        <f t="shared" si="1"/>
        <v/>
      </c>
      <c r="R8" t="s">
        <v>49</v>
      </c>
    </row>
    <row r="9" spans="1:18" x14ac:dyDescent="0.45">
      <c r="A9" t="s">
        <v>50</v>
      </c>
      <c r="B9" t="str">
        <f t="shared" si="0"/>
        <v>2019 Hay Landfill p1</v>
      </c>
      <c r="C9" t="s">
        <v>51</v>
      </c>
      <c r="E9" t="s">
        <v>19</v>
      </c>
      <c r="F9" s="1">
        <v>43582</v>
      </c>
      <c r="G9" s="1">
        <v>43572</v>
      </c>
      <c r="H9">
        <v>10</v>
      </c>
      <c r="I9" s="3">
        <v>125</v>
      </c>
      <c r="J9">
        <v>12.5</v>
      </c>
      <c r="K9" s="1">
        <v>43593</v>
      </c>
      <c r="L9">
        <v>10</v>
      </c>
      <c r="M9">
        <v>70</v>
      </c>
      <c r="N9">
        <v>7</v>
      </c>
      <c r="O9">
        <v>0.56000000000000005</v>
      </c>
      <c r="Q9" t="str">
        <f t="shared" si="1"/>
        <v/>
      </c>
      <c r="R9" t="s">
        <v>51</v>
      </c>
    </row>
    <row r="10" spans="1:18" x14ac:dyDescent="0.45">
      <c r="A10" t="s">
        <v>50</v>
      </c>
      <c r="B10" t="str">
        <f t="shared" si="0"/>
        <v>2019 Hay Landfill p2</v>
      </c>
      <c r="C10" t="s">
        <v>52</v>
      </c>
      <c r="E10" s="2" t="s">
        <v>46</v>
      </c>
      <c r="F10" s="1">
        <v>43625</v>
      </c>
      <c r="G10" s="1">
        <v>43615</v>
      </c>
      <c r="H10">
        <v>10</v>
      </c>
      <c r="I10" s="3">
        <v>65</v>
      </c>
      <c r="J10">
        <v>6.5</v>
      </c>
      <c r="K10" s="1">
        <v>43636</v>
      </c>
      <c r="L10">
        <v>10</v>
      </c>
      <c r="M10">
        <v>8</v>
      </c>
      <c r="N10">
        <v>0.8</v>
      </c>
      <c r="O10">
        <v>0.123</v>
      </c>
      <c r="Q10" t="str">
        <f t="shared" si="1"/>
        <v/>
      </c>
      <c r="R10" t="s">
        <v>52</v>
      </c>
    </row>
    <row r="11" spans="1:18" x14ac:dyDescent="0.45">
      <c r="A11" t="s">
        <v>53</v>
      </c>
      <c r="B11" t="str">
        <f t="shared" si="0"/>
        <v>2019 Iron Point p1</v>
      </c>
      <c r="C11" t="s">
        <v>54</v>
      </c>
      <c r="E11" t="s">
        <v>19</v>
      </c>
      <c r="F11" s="1">
        <v>43588</v>
      </c>
      <c r="G11" s="1">
        <v>43579</v>
      </c>
      <c r="H11">
        <v>9</v>
      </c>
      <c r="I11" s="3">
        <v>141</v>
      </c>
      <c r="J11">
        <v>15.667</v>
      </c>
      <c r="K11" s="1">
        <v>43599</v>
      </c>
      <c r="L11">
        <v>10</v>
      </c>
      <c r="M11">
        <v>48</v>
      </c>
      <c r="N11">
        <v>4.8</v>
      </c>
      <c r="O11">
        <v>0.30599999999999999</v>
      </c>
      <c r="Q11" t="str">
        <f t="shared" si="1"/>
        <v/>
      </c>
      <c r="R11" t="s">
        <v>61</v>
      </c>
    </row>
    <row r="12" spans="1:18" x14ac:dyDescent="0.45">
      <c r="A12" t="s">
        <v>58</v>
      </c>
      <c r="B12" t="str">
        <f t="shared" si="0"/>
        <v>2019 Markham Ravine p1</v>
      </c>
      <c r="C12" t="s">
        <v>59</v>
      </c>
      <c r="E12" s="2" t="s">
        <v>46</v>
      </c>
      <c r="F12" s="1">
        <v>43613</v>
      </c>
      <c r="G12" s="1">
        <v>43603</v>
      </c>
      <c r="H12">
        <v>10</v>
      </c>
      <c r="I12" s="3">
        <v>264</v>
      </c>
      <c r="J12">
        <v>26.4</v>
      </c>
      <c r="K12" s="1">
        <v>43624</v>
      </c>
      <c r="L12">
        <v>10</v>
      </c>
      <c r="M12">
        <v>69</v>
      </c>
      <c r="N12">
        <v>6.9</v>
      </c>
      <c r="O12">
        <v>0.26100000000000001</v>
      </c>
      <c r="Q12" t="str">
        <f t="shared" si="1"/>
        <v/>
      </c>
      <c r="R12" t="s">
        <v>59</v>
      </c>
    </row>
    <row r="13" spans="1:18" x14ac:dyDescent="0.45">
      <c r="A13" t="s">
        <v>60</v>
      </c>
      <c r="B13" t="str">
        <f t="shared" si="0"/>
        <v>2019 Markham Ravine 2 p1</v>
      </c>
      <c r="C13" t="s">
        <v>61</v>
      </c>
      <c r="E13" s="2" t="s">
        <v>46</v>
      </c>
      <c r="F13" s="1">
        <v>43616</v>
      </c>
      <c r="G13" s="1">
        <v>43606</v>
      </c>
      <c r="H13">
        <v>10</v>
      </c>
      <c r="I13" s="3">
        <v>172</v>
      </c>
      <c r="J13">
        <v>17.2</v>
      </c>
      <c r="K13" s="1">
        <v>43626</v>
      </c>
      <c r="L13">
        <v>9</v>
      </c>
      <c r="M13">
        <v>35</v>
      </c>
      <c r="N13">
        <v>3.8889999999999998</v>
      </c>
      <c r="O13">
        <v>0.22600000000000001</v>
      </c>
      <c r="Q13" t="str">
        <f t="shared" si="1"/>
        <v>Missing</v>
      </c>
      <c r="R13" t="s">
        <v>63</v>
      </c>
    </row>
    <row r="14" spans="1:18" x14ac:dyDescent="0.45">
      <c r="A14" t="s">
        <v>75</v>
      </c>
      <c r="B14" t="str">
        <f t="shared" si="0"/>
        <v>2020 Markham Ravine p1</v>
      </c>
      <c r="C14" t="s">
        <v>76</v>
      </c>
      <c r="E14" s="2" t="s">
        <v>46</v>
      </c>
      <c r="F14" s="1">
        <v>43970</v>
      </c>
      <c r="G14" s="1">
        <v>43960</v>
      </c>
      <c r="H14">
        <v>10</v>
      </c>
      <c r="I14" s="3">
        <v>240</v>
      </c>
      <c r="J14">
        <v>24</v>
      </c>
      <c r="K14" s="1">
        <v>43980</v>
      </c>
      <c r="L14">
        <v>9</v>
      </c>
      <c r="M14">
        <v>48</v>
      </c>
      <c r="N14">
        <v>5.3330000000000002</v>
      </c>
      <c r="O14">
        <v>0.222</v>
      </c>
      <c r="Q14" t="str">
        <f t="shared" si="1"/>
        <v>Missing</v>
      </c>
      <c r="R14" t="s">
        <v>69</v>
      </c>
    </row>
    <row r="15" spans="1:18" x14ac:dyDescent="0.45">
      <c r="A15" t="s">
        <v>77</v>
      </c>
      <c r="B15" t="str">
        <f t="shared" si="0"/>
        <v>2020 Ohlone - Santa Lucia Preserve p1</v>
      </c>
      <c r="C15" t="s">
        <v>78</v>
      </c>
      <c r="E15" t="s">
        <v>19</v>
      </c>
      <c r="F15" s="1">
        <v>43955</v>
      </c>
      <c r="G15" s="1">
        <v>43945</v>
      </c>
      <c r="H15">
        <v>10</v>
      </c>
      <c r="I15" s="3">
        <v>59</v>
      </c>
      <c r="J15">
        <v>5.9</v>
      </c>
      <c r="K15" s="1">
        <v>43966</v>
      </c>
      <c r="L15">
        <v>10</v>
      </c>
      <c r="M15">
        <v>84</v>
      </c>
      <c r="N15">
        <v>8.4</v>
      </c>
      <c r="O15">
        <v>1.4239999999999999</v>
      </c>
      <c r="Q15" t="str">
        <f t="shared" si="1"/>
        <v/>
      </c>
      <c r="R15" t="s">
        <v>76</v>
      </c>
    </row>
    <row r="16" spans="1:18" x14ac:dyDescent="0.45">
      <c r="A16" t="s">
        <v>86</v>
      </c>
      <c r="B16" t="str">
        <f t="shared" si="0"/>
        <v>2021 Conaway South p1</v>
      </c>
      <c r="C16" t="s">
        <v>87</v>
      </c>
      <c r="E16" t="s">
        <v>19</v>
      </c>
      <c r="F16" s="1">
        <v>44357</v>
      </c>
      <c r="G16" s="1">
        <v>44347</v>
      </c>
      <c r="H16">
        <v>10</v>
      </c>
      <c r="I16" s="3">
        <v>128</v>
      </c>
      <c r="J16">
        <v>12.8</v>
      </c>
      <c r="K16" s="1">
        <v>44368</v>
      </c>
      <c r="L16">
        <v>10</v>
      </c>
      <c r="M16">
        <v>165</v>
      </c>
      <c r="N16">
        <v>16.5</v>
      </c>
      <c r="O16">
        <v>1.2889999999999999</v>
      </c>
      <c r="Q16" t="str">
        <f t="shared" si="1"/>
        <v>Missing</v>
      </c>
      <c r="R16" t="s">
        <v>418</v>
      </c>
    </row>
    <row r="17" spans="1:18" x14ac:dyDescent="0.45">
      <c r="A17" t="s">
        <v>93</v>
      </c>
      <c r="B17" t="str">
        <f t="shared" si="0"/>
        <v>2021 Foley Ranch p1</v>
      </c>
      <c r="C17" t="s">
        <v>94</v>
      </c>
      <c r="E17" t="s">
        <v>19</v>
      </c>
      <c r="F17" s="1">
        <v>44328</v>
      </c>
      <c r="G17" s="1">
        <v>44320</v>
      </c>
      <c r="H17">
        <v>8</v>
      </c>
      <c r="I17" s="3">
        <v>179</v>
      </c>
      <c r="J17">
        <v>22.375</v>
      </c>
      <c r="K17" s="1">
        <v>44339</v>
      </c>
      <c r="L17">
        <v>10</v>
      </c>
      <c r="M17">
        <v>281</v>
      </c>
      <c r="N17">
        <v>28.1</v>
      </c>
      <c r="O17">
        <v>1.256</v>
      </c>
      <c r="Q17" t="str">
        <f t="shared" si="1"/>
        <v>Missing</v>
      </c>
      <c r="R17" t="s">
        <v>84</v>
      </c>
    </row>
    <row r="18" spans="1:18" x14ac:dyDescent="0.45">
      <c r="A18" t="s">
        <v>96</v>
      </c>
      <c r="B18" t="str">
        <f t="shared" si="0"/>
        <v>2021 Hale Road 2 p1</v>
      </c>
      <c r="C18" t="s">
        <v>97</v>
      </c>
      <c r="E18" t="s">
        <v>19</v>
      </c>
      <c r="F18" s="1">
        <v>44330</v>
      </c>
      <c r="G18" s="1">
        <v>44320</v>
      </c>
      <c r="H18">
        <v>10</v>
      </c>
      <c r="I18" s="3">
        <v>311</v>
      </c>
      <c r="J18">
        <v>31.1</v>
      </c>
      <c r="K18" s="1">
        <v>44341</v>
      </c>
      <c r="L18">
        <v>10</v>
      </c>
      <c r="M18">
        <v>275</v>
      </c>
      <c r="N18">
        <v>27.5</v>
      </c>
      <c r="O18">
        <v>0.88400000000000001</v>
      </c>
      <c r="Q18" t="str">
        <f t="shared" si="1"/>
        <v/>
      </c>
      <c r="R18" t="s">
        <v>87</v>
      </c>
    </row>
    <row r="19" spans="1:18" x14ac:dyDescent="0.45">
      <c r="A19" t="s">
        <v>123</v>
      </c>
      <c r="B19" t="str">
        <f t="shared" si="0"/>
        <v>2021 Orchard Creek p1</v>
      </c>
      <c r="C19" t="s">
        <v>124</v>
      </c>
      <c r="E19" t="s">
        <v>19</v>
      </c>
      <c r="F19" s="1">
        <v>44317</v>
      </c>
      <c r="G19" s="1">
        <v>44307</v>
      </c>
      <c r="H19">
        <v>10</v>
      </c>
      <c r="I19" s="3">
        <v>146</v>
      </c>
      <c r="J19">
        <v>14.6</v>
      </c>
      <c r="K19" s="1">
        <v>44328</v>
      </c>
      <c r="L19">
        <v>10</v>
      </c>
      <c r="M19">
        <v>86</v>
      </c>
      <c r="N19">
        <v>8.6</v>
      </c>
      <c r="O19">
        <v>0.58899999999999997</v>
      </c>
      <c r="Q19" t="str">
        <f t="shared" si="1"/>
        <v/>
      </c>
      <c r="R19" t="s">
        <v>94</v>
      </c>
    </row>
    <row r="20" spans="1:18" x14ac:dyDescent="0.45">
      <c r="A20" t="s">
        <v>123</v>
      </c>
      <c r="B20" t="str">
        <f t="shared" si="0"/>
        <v>2021 Orchard Creek p2</v>
      </c>
      <c r="C20" t="s">
        <v>125</v>
      </c>
      <c r="E20" t="s">
        <v>19</v>
      </c>
      <c r="F20" s="1">
        <v>44340</v>
      </c>
      <c r="G20" s="1">
        <v>44330</v>
      </c>
      <c r="H20">
        <v>10</v>
      </c>
      <c r="I20" s="3">
        <v>149</v>
      </c>
      <c r="J20">
        <v>14.9</v>
      </c>
      <c r="K20" s="1">
        <v>44351</v>
      </c>
      <c r="L20">
        <v>10</v>
      </c>
      <c r="M20">
        <v>238</v>
      </c>
      <c r="N20">
        <v>23.8</v>
      </c>
      <c r="O20">
        <v>1.597</v>
      </c>
      <c r="Q20" t="str">
        <f t="shared" si="1"/>
        <v/>
      </c>
      <c r="R20" t="s">
        <v>97</v>
      </c>
    </row>
    <row r="21" spans="1:18" x14ac:dyDescent="0.45">
      <c r="A21" t="s">
        <v>126</v>
      </c>
      <c r="B21" t="str">
        <f t="shared" si="0"/>
        <v>2021 Panoche Creek Preserve 1W p1</v>
      </c>
      <c r="C21" t="s">
        <v>127</v>
      </c>
      <c r="E21" s="2" t="s">
        <v>46</v>
      </c>
      <c r="F21" s="1">
        <v>44318</v>
      </c>
      <c r="G21" s="1">
        <v>44308</v>
      </c>
      <c r="H21">
        <v>10</v>
      </c>
      <c r="I21" s="3">
        <v>121</v>
      </c>
      <c r="J21">
        <v>12.1</v>
      </c>
      <c r="K21" s="1">
        <v>44329</v>
      </c>
      <c r="L21">
        <v>10</v>
      </c>
      <c r="M21">
        <v>2</v>
      </c>
      <c r="N21">
        <v>0.2</v>
      </c>
      <c r="O21">
        <v>1.7000000000000001E-2</v>
      </c>
      <c r="Q21" t="str">
        <f t="shared" si="1"/>
        <v>Missing</v>
      </c>
      <c r="R21" t="s">
        <v>111</v>
      </c>
    </row>
    <row r="22" spans="1:18" x14ac:dyDescent="0.45">
      <c r="A22" t="s">
        <v>128</v>
      </c>
      <c r="B22" t="str">
        <f t="shared" si="0"/>
        <v>2021 Panoche Creek Preserve 2E p1</v>
      </c>
      <c r="C22" t="s">
        <v>129</v>
      </c>
      <c r="E22" t="s">
        <v>19</v>
      </c>
      <c r="F22" s="1">
        <v>44316</v>
      </c>
      <c r="G22" s="1">
        <v>44306</v>
      </c>
      <c r="H22">
        <v>10</v>
      </c>
      <c r="I22" s="3">
        <v>157</v>
      </c>
      <c r="J22">
        <v>15.7</v>
      </c>
      <c r="K22" s="1">
        <v>44327</v>
      </c>
      <c r="L22">
        <v>10</v>
      </c>
      <c r="M22">
        <v>94</v>
      </c>
      <c r="N22">
        <v>9.4</v>
      </c>
      <c r="O22">
        <v>0.59899999999999998</v>
      </c>
      <c r="Q22" t="str">
        <f t="shared" si="1"/>
        <v>Missing</v>
      </c>
      <c r="R22" t="s">
        <v>114</v>
      </c>
    </row>
    <row r="23" spans="1:18" x14ac:dyDescent="0.45">
      <c r="A23" t="s">
        <v>140</v>
      </c>
      <c r="B23" t="str">
        <f t="shared" si="0"/>
        <v>2021 Rodeo Grounds 1 p1</v>
      </c>
      <c r="C23" t="s">
        <v>141</v>
      </c>
      <c r="E23" t="s">
        <v>19</v>
      </c>
      <c r="F23" s="1">
        <v>44318</v>
      </c>
      <c r="G23" s="1">
        <v>44308</v>
      </c>
      <c r="H23">
        <v>10</v>
      </c>
      <c r="I23" s="3">
        <v>311</v>
      </c>
      <c r="J23">
        <v>31.1</v>
      </c>
      <c r="K23" s="1">
        <v>44329</v>
      </c>
      <c r="L23">
        <v>10</v>
      </c>
      <c r="M23">
        <v>253</v>
      </c>
      <c r="N23">
        <v>25.3</v>
      </c>
      <c r="O23">
        <v>0.81399999999999995</v>
      </c>
      <c r="Q23" t="str">
        <f t="shared" si="1"/>
        <v>Missing</v>
      </c>
      <c r="R23" t="s">
        <v>120</v>
      </c>
    </row>
    <row r="24" spans="1:18" x14ac:dyDescent="0.45">
      <c r="A24" t="s">
        <v>146</v>
      </c>
      <c r="B24" t="str">
        <f t="shared" si="0"/>
        <v>2021 SJWA p1</v>
      </c>
      <c r="C24" t="s">
        <v>147</v>
      </c>
      <c r="E24" s="2" t="s">
        <v>17</v>
      </c>
      <c r="F24" s="1">
        <v>44362</v>
      </c>
      <c r="G24" s="1">
        <v>44352</v>
      </c>
      <c r="H24">
        <v>10</v>
      </c>
      <c r="I24" s="3">
        <v>133</v>
      </c>
      <c r="J24">
        <v>13.3</v>
      </c>
      <c r="K24" s="1">
        <v>44373</v>
      </c>
      <c r="L24">
        <v>10</v>
      </c>
      <c r="M24">
        <v>10</v>
      </c>
      <c r="N24">
        <v>1</v>
      </c>
      <c r="O24">
        <v>7.4999999999999997E-2</v>
      </c>
      <c r="Q24" t="str">
        <f t="shared" si="1"/>
        <v>Missing</v>
      </c>
      <c r="R24" t="s">
        <v>407</v>
      </c>
    </row>
    <row r="25" spans="1:18" x14ac:dyDescent="0.45">
      <c r="A25" t="s">
        <v>150</v>
      </c>
      <c r="B25" t="str">
        <f t="shared" si="0"/>
        <v>2021 Wind Wolves Preserve p1</v>
      </c>
      <c r="C25" t="s">
        <v>151</v>
      </c>
      <c r="E25" t="s">
        <v>19</v>
      </c>
      <c r="F25" s="1">
        <v>44330</v>
      </c>
      <c r="G25" s="1">
        <v>44320</v>
      </c>
      <c r="H25">
        <v>10</v>
      </c>
      <c r="I25" s="3">
        <v>160</v>
      </c>
      <c r="J25">
        <v>16</v>
      </c>
      <c r="K25" s="1">
        <v>44341</v>
      </c>
      <c r="L25">
        <v>10</v>
      </c>
      <c r="M25">
        <v>41</v>
      </c>
      <c r="N25">
        <v>4.0999999999999996</v>
      </c>
      <c r="O25">
        <v>0.25600000000000001</v>
      </c>
      <c r="Q25" t="str">
        <f t="shared" si="1"/>
        <v>Missing</v>
      </c>
      <c r="R25" t="s">
        <v>411</v>
      </c>
    </row>
    <row r="26" spans="1:18" x14ac:dyDescent="0.45">
      <c r="A26" t="s">
        <v>152</v>
      </c>
      <c r="B26" t="str">
        <f t="shared" si="0"/>
        <v>2022 Baja 1 p1</v>
      </c>
      <c r="C26" t="s">
        <v>153</v>
      </c>
      <c r="E26" t="s">
        <v>19</v>
      </c>
      <c r="F26" s="1">
        <v>44665</v>
      </c>
      <c r="G26" s="1">
        <v>44655</v>
      </c>
      <c r="H26">
        <v>10</v>
      </c>
      <c r="I26" s="3">
        <v>52</v>
      </c>
      <c r="J26">
        <v>5.2</v>
      </c>
      <c r="K26" s="1">
        <v>44676</v>
      </c>
      <c r="L26">
        <v>10</v>
      </c>
      <c r="M26">
        <v>116</v>
      </c>
      <c r="N26">
        <v>11.6</v>
      </c>
      <c r="O26">
        <v>2.2309999999999999</v>
      </c>
      <c r="Q26" t="str">
        <f t="shared" si="1"/>
        <v/>
      </c>
      <c r="R26" t="s">
        <v>141</v>
      </c>
    </row>
    <row r="27" spans="1:18" x14ac:dyDescent="0.45">
      <c r="A27" t="s">
        <v>158</v>
      </c>
      <c r="B27" t="str">
        <f t="shared" si="0"/>
        <v>2022 Conaway East p1</v>
      </c>
      <c r="C27" t="s">
        <v>159</v>
      </c>
      <c r="E27" s="2" t="s">
        <v>46</v>
      </c>
      <c r="F27" s="1">
        <v>44704</v>
      </c>
      <c r="G27" s="1">
        <v>44694</v>
      </c>
      <c r="H27">
        <v>10</v>
      </c>
      <c r="I27" s="3">
        <v>234</v>
      </c>
      <c r="J27">
        <v>23.4</v>
      </c>
      <c r="K27" s="1">
        <v>44715</v>
      </c>
      <c r="L27">
        <v>10</v>
      </c>
      <c r="M27">
        <v>50</v>
      </c>
      <c r="N27">
        <v>5</v>
      </c>
      <c r="O27">
        <v>0.214</v>
      </c>
      <c r="Q27" t="str">
        <f t="shared" si="1"/>
        <v/>
      </c>
      <c r="R27" t="s">
        <v>147</v>
      </c>
    </row>
    <row r="28" spans="1:18" x14ac:dyDescent="0.45">
      <c r="A28" t="s">
        <v>163</v>
      </c>
      <c r="B28" t="str">
        <f t="shared" si="0"/>
        <v>2022 Conaway North p1</v>
      </c>
      <c r="C28" t="s">
        <v>164</v>
      </c>
      <c r="E28" t="s">
        <v>19</v>
      </c>
      <c r="F28" s="1">
        <v>44702</v>
      </c>
      <c r="G28" s="1">
        <v>44692</v>
      </c>
      <c r="H28">
        <v>10</v>
      </c>
      <c r="I28" s="3">
        <v>731</v>
      </c>
      <c r="J28">
        <v>73.099999999999994</v>
      </c>
      <c r="K28" s="1">
        <v>44713</v>
      </c>
      <c r="L28">
        <v>10</v>
      </c>
      <c r="M28">
        <v>588</v>
      </c>
      <c r="N28">
        <v>58.8</v>
      </c>
      <c r="O28">
        <v>0.80400000000000005</v>
      </c>
      <c r="Q28" t="str">
        <f t="shared" si="1"/>
        <v>Missing</v>
      </c>
      <c r="R28" t="s">
        <v>420</v>
      </c>
    </row>
    <row r="29" spans="1:18" x14ac:dyDescent="0.45">
      <c r="A29" t="s">
        <v>165</v>
      </c>
      <c r="B29" t="str">
        <f t="shared" si="0"/>
        <v>2022 Creed Road p1</v>
      </c>
      <c r="C29" t="s">
        <v>166</v>
      </c>
      <c r="E29" t="s">
        <v>19</v>
      </c>
      <c r="F29" s="1">
        <v>44666</v>
      </c>
      <c r="G29" s="1">
        <v>44656</v>
      </c>
      <c r="H29">
        <v>10</v>
      </c>
      <c r="I29" s="3">
        <v>242</v>
      </c>
      <c r="J29">
        <v>24.2</v>
      </c>
      <c r="K29" s="1">
        <v>44677</v>
      </c>
      <c r="L29">
        <v>10</v>
      </c>
      <c r="M29">
        <v>269</v>
      </c>
      <c r="N29">
        <v>26.9</v>
      </c>
      <c r="O29">
        <v>1.1120000000000001</v>
      </c>
      <c r="Q29" t="str">
        <f t="shared" si="1"/>
        <v/>
      </c>
      <c r="R29" t="s">
        <v>408</v>
      </c>
    </row>
    <row r="30" spans="1:18" x14ac:dyDescent="0.45">
      <c r="A30" t="s">
        <v>169</v>
      </c>
      <c r="B30" t="str">
        <f t="shared" si="0"/>
        <v>2022 Hay Landfill p1</v>
      </c>
      <c r="C30" t="s">
        <v>170</v>
      </c>
      <c r="E30" t="s">
        <v>19</v>
      </c>
      <c r="F30" s="1">
        <v>44663</v>
      </c>
      <c r="G30" s="1">
        <v>44653</v>
      </c>
      <c r="H30">
        <v>10</v>
      </c>
      <c r="I30" s="3">
        <v>125</v>
      </c>
      <c r="J30">
        <v>12.5</v>
      </c>
      <c r="K30" s="1">
        <v>44674</v>
      </c>
      <c r="L30">
        <v>10</v>
      </c>
      <c r="M30">
        <v>23</v>
      </c>
      <c r="N30">
        <v>2.2999999999999998</v>
      </c>
      <c r="O30">
        <v>0.184</v>
      </c>
      <c r="Q30" t="str">
        <f t="shared" si="1"/>
        <v/>
      </c>
      <c r="R30" t="s">
        <v>164</v>
      </c>
    </row>
    <row r="31" spans="1:18" x14ac:dyDescent="0.45">
      <c r="A31" t="s">
        <v>172</v>
      </c>
      <c r="B31" t="str">
        <f t="shared" si="0"/>
        <v>2022 Laguna Seca p2</v>
      </c>
      <c r="C31" t="s">
        <v>174</v>
      </c>
      <c r="E31" t="s">
        <v>19</v>
      </c>
      <c r="F31" s="1">
        <v>44709</v>
      </c>
      <c r="G31" s="1">
        <v>44699</v>
      </c>
      <c r="H31">
        <v>10</v>
      </c>
      <c r="I31" s="3">
        <v>67</v>
      </c>
      <c r="J31">
        <v>6.7</v>
      </c>
      <c r="K31" s="1">
        <v>44720</v>
      </c>
      <c r="L31">
        <v>10</v>
      </c>
      <c r="M31">
        <v>37</v>
      </c>
      <c r="N31">
        <v>3.7</v>
      </c>
      <c r="O31">
        <v>0.55200000000000005</v>
      </c>
      <c r="Q31" t="str">
        <f t="shared" si="1"/>
        <v/>
      </c>
      <c r="R31" t="s">
        <v>166</v>
      </c>
    </row>
    <row r="32" spans="1:18" x14ac:dyDescent="0.45">
      <c r="A32" t="s">
        <v>175</v>
      </c>
      <c r="B32" t="str">
        <f t="shared" si="0"/>
        <v>2022 Los Vaqueros Reservoir p1</v>
      </c>
      <c r="C32" t="s">
        <v>176</v>
      </c>
      <c r="E32" t="s">
        <v>19</v>
      </c>
      <c r="F32" s="1">
        <v>44670</v>
      </c>
      <c r="G32" s="1">
        <v>44666</v>
      </c>
      <c r="H32">
        <v>4</v>
      </c>
      <c r="I32" s="3">
        <v>104</v>
      </c>
      <c r="J32">
        <v>26</v>
      </c>
      <c r="K32" s="1">
        <v>44681</v>
      </c>
      <c r="L32">
        <v>10</v>
      </c>
      <c r="M32">
        <v>262</v>
      </c>
      <c r="N32">
        <v>26.2</v>
      </c>
      <c r="O32">
        <v>1.008</v>
      </c>
      <c r="Q32" t="str">
        <f t="shared" si="1"/>
        <v/>
      </c>
      <c r="R32" t="s">
        <v>170</v>
      </c>
    </row>
    <row r="33" spans="1:18" x14ac:dyDescent="0.45">
      <c r="A33" t="s">
        <v>191</v>
      </c>
      <c r="B33" t="str">
        <f t="shared" si="0"/>
        <v>2022 Panoche Creek Preserve Loc3 p1</v>
      </c>
      <c r="C33" t="s">
        <v>192</v>
      </c>
      <c r="E33" t="s">
        <v>19</v>
      </c>
      <c r="F33" s="1">
        <v>44671</v>
      </c>
      <c r="G33" s="1">
        <v>44661</v>
      </c>
      <c r="H33">
        <v>10</v>
      </c>
      <c r="I33" s="3">
        <v>98</v>
      </c>
      <c r="J33">
        <v>9.8000000000000007</v>
      </c>
      <c r="K33" s="1">
        <v>44682</v>
      </c>
      <c r="L33">
        <v>10</v>
      </c>
      <c r="M33">
        <v>148</v>
      </c>
      <c r="N33">
        <v>14.8</v>
      </c>
      <c r="O33">
        <v>1.51</v>
      </c>
      <c r="Q33" t="str">
        <f t="shared" si="1"/>
        <v/>
      </c>
      <c r="R33" t="s">
        <v>174</v>
      </c>
    </row>
    <row r="34" spans="1:18" x14ac:dyDescent="0.45">
      <c r="A34" t="s">
        <v>195</v>
      </c>
      <c r="B34" t="str">
        <f t="shared" si="0"/>
        <v>2022 Panoche Creek Preserve Loc5 p1</v>
      </c>
      <c r="C34" t="s">
        <v>196</v>
      </c>
      <c r="E34" t="s">
        <v>19</v>
      </c>
      <c r="F34" s="1">
        <v>44671</v>
      </c>
      <c r="G34" s="1">
        <v>44665</v>
      </c>
      <c r="H34">
        <v>6</v>
      </c>
      <c r="I34" s="3">
        <v>95</v>
      </c>
      <c r="J34">
        <v>15.833</v>
      </c>
      <c r="K34" s="1">
        <v>44682</v>
      </c>
      <c r="L34">
        <v>10</v>
      </c>
      <c r="M34">
        <v>145</v>
      </c>
      <c r="N34">
        <v>14.5</v>
      </c>
      <c r="O34">
        <v>0.91600000000000004</v>
      </c>
      <c r="Q34" t="str">
        <f t="shared" si="1"/>
        <v/>
      </c>
      <c r="R34" t="s">
        <v>176</v>
      </c>
    </row>
    <row r="35" spans="1:18" x14ac:dyDescent="0.45">
      <c r="A35" t="s">
        <v>197</v>
      </c>
      <c r="B35" t="str">
        <f t="shared" si="0"/>
        <v>2022 Plumas Arboga East p2</v>
      </c>
      <c r="C35" t="s">
        <v>199</v>
      </c>
      <c r="E35" t="s">
        <v>19</v>
      </c>
      <c r="F35" s="1">
        <v>44703</v>
      </c>
      <c r="G35" s="1">
        <v>44693</v>
      </c>
      <c r="H35">
        <v>10</v>
      </c>
      <c r="I35" s="3">
        <v>98</v>
      </c>
      <c r="J35">
        <v>9.8000000000000007</v>
      </c>
      <c r="K35" s="1">
        <v>44714</v>
      </c>
      <c r="L35">
        <v>10</v>
      </c>
      <c r="M35">
        <v>493</v>
      </c>
      <c r="N35">
        <v>49.3</v>
      </c>
      <c r="O35">
        <v>5.0309999999999997</v>
      </c>
      <c r="Q35" t="str">
        <f t="shared" si="1"/>
        <v>Missing</v>
      </c>
      <c r="R35" t="s">
        <v>190</v>
      </c>
    </row>
    <row r="36" spans="1:18" x14ac:dyDescent="0.45">
      <c r="A36" t="s">
        <v>200</v>
      </c>
      <c r="B36" t="str">
        <f t="shared" si="0"/>
        <v>2022 Private Site 1 - not real lat lon p1</v>
      </c>
      <c r="C36" t="s">
        <v>201</v>
      </c>
      <c r="E36" t="s">
        <v>19</v>
      </c>
      <c r="F36" s="1">
        <v>44681</v>
      </c>
      <c r="G36" s="1">
        <v>44671</v>
      </c>
      <c r="H36">
        <v>10</v>
      </c>
      <c r="I36" s="3">
        <v>61</v>
      </c>
      <c r="J36">
        <v>6.1</v>
      </c>
      <c r="K36" s="1">
        <v>44692</v>
      </c>
      <c r="L36">
        <v>10</v>
      </c>
      <c r="M36">
        <v>186</v>
      </c>
      <c r="N36">
        <v>18.600000000000001</v>
      </c>
      <c r="O36">
        <v>3.0489999999999999</v>
      </c>
      <c r="Q36" t="str">
        <f t="shared" si="1"/>
        <v/>
      </c>
      <c r="R36" t="s">
        <v>192</v>
      </c>
    </row>
    <row r="37" spans="1:18" x14ac:dyDescent="0.45">
      <c r="A37" t="s">
        <v>215</v>
      </c>
      <c r="B37" t="str">
        <f t="shared" si="0"/>
        <v>2022 WA Harder Spring p1</v>
      </c>
      <c r="C37" t="s">
        <v>216</v>
      </c>
      <c r="E37" t="s">
        <v>19</v>
      </c>
      <c r="F37" s="1">
        <v>44698</v>
      </c>
      <c r="G37" s="1">
        <v>44688</v>
      </c>
      <c r="H37">
        <v>10</v>
      </c>
      <c r="I37" s="3">
        <v>67</v>
      </c>
      <c r="J37">
        <v>6.7</v>
      </c>
      <c r="K37" s="1">
        <v>44709</v>
      </c>
      <c r="L37">
        <v>10</v>
      </c>
      <c r="M37">
        <v>100</v>
      </c>
      <c r="N37">
        <v>10</v>
      </c>
      <c r="O37">
        <v>1.4930000000000001</v>
      </c>
      <c r="Q37" t="str">
        <f t="shared" si="1"/>
        <v>Missing</v>
      </c>
      <c r="R37" t="s">
        <v>416</v>
      </c>
    </row>
    <row r="38" spans="1:18" x14ac:dyDescent="0.45">
      <c r="A38" t="s">
        <v>215</v>
      </c>
      <c r="B38" t="str">
        <f t="shared" si="0"/>
        <v>2022 WA Harder Spring p2</v>
      </c>
      <c r="C38" t="s">
        <v>217</v>
      </c>
      <c r="E38" t="s">
        <v>19</v>
      </c>
      <c r="F38" s="1">
        <v>44719</v>
      </c>
      <c r="G38" s="1">
        <v>44709</v>
      </c>
      <c r="H38">
        <v>10</v>
      </c>
      <c r="I38" s="3">
        <v>117</v>
      </c>
      <c r="J38">
        <v>11.7</v>
      </c>
      <c r="K38" s="1">
        <v>44730</v>
      </c>
      <c r="L38">
        <v>10</v>
      </c>
      <c r="M38">
        <v>304</v>
      </c>
      <c r="N38">
        <v>30.4</v>
      </c>
      <c r="O38">
        <v>2.5979999999999999</v>
      </c>
      <c r="Q38" t="str">
        <f t="shared" si="1"/>
        <v>Missing</v>
      </c>
      <c r="R38" t="s">
        <v>422</v>
      </c>
    </row>
    <row r="39" spans="1:18" x14ac:dyDescent="0.45">
      <c r="A39" t="s">
        <v>235</v>
      </c>
      <c r="B39" t="str">
        <f t="shared" si="0"/>
        <v>2023 Colusa NWR T27.1 p1</v>
      </c>
      <c r="C39" t="s">
        <v>236</v>
      </c>
      <c r="E39" s="2" t="s">
        <v>46</v>
      </c>
      <c r="F39" s="1">
        <v>45123</v>
      </c>
      <c r="G39" s="1">
        <v>45113</v>
      </c>
      <c r="H39">
        <v>10</v>
      </c>
      <c r="I39" s="3">
        <v>254</v>
      </c>
      <c r="J39">
        <v>25.4</v>
      </c>
      <c r="K39" s="1">
        <v>45134</v>
      </c>
      <c r="L39">
        <v>10</v>
      </c>
      <c r="M39">
        <v>109</v>
      </c>
      <c r="N39">
        <v>10.9</v>
      </c>
      <c r="O39">
        <v>0.42899999999999999</v>
      </c>
      <c r="Q39" t="str">
        <f t="shared" si="1"/>
        <v/>
      </c>
      <c r="R39" t="s">
        <v>236</v>
      </c>
    </row>
    <row r="40" spans="1:18" x14ac:dyDescent="0.45">
      <c r="A40" t="s">
        <v>237</v>
      </c>
      <c r="B40" t="str">
        <f t="shared" si="0"/>
        <v>2023 Colusa NWR T27.2 p1</v>
      </c>
      <c r="C40" t="s">
        <v>238</v>
      </c>
      <c r="E40" t="s">
        <v>19</v>
      </c>
      <c r="F40" s="1">
        <v>45097</v>
      </c>
      <c r="G40" s="1">
        <v>45087</v>
      </c>
      <c r="H40">
        <v>10</v>
      </c>
      <c r="I40" s="3">
        <v>87</v>
      </c>
      <c r="J40">
        <v>8.6999999999999993</v>
      </c>
      <c r="K40" s="1">
        <v>45108</v>
      </c>
      <c r="L40">
        <v>10</v>
      </c>
      <c r="M40">
        <v>165</v>
      </c>
      <c r="N40">
        <v>16.5</v>
      </c>
      <c r="O40">
        <v>1.897</v>
      </c>
      <c r="Q40" t="str">
        <f t="shared" si="1"/>
        <v/>
      </c>
      <c r="R40" t="s">
        <v>238</v>
      </c>
    </row>
    <row r="41" spans="1:18" x14ac:dyDescent="0.45">
      <c r="A41" t="s">
        <v>239</v>
      </c>
      <c r="B41" t="str">
        <f t="shared" si="0"/>
        <v>2023 Conaway Ranch - HQ p1</v>
      </c>
      <c r="C41" t="s">
        <v>240</v>
      </c>
      <c r="E41" t="s">
        <v>19</v>
      </c>
      <c r="F41" s="1">
        <v>45090</v>
      </c>
      <c r="G41" s="1">
        <v>45080</v>
      </c>
      <c r="H41">
        <v>10</v>
      </c>
      <c r="I41" s="3">
        <v>296</v>
      </c>
      <c r="J41">
        <v>29.6</v>
      </c>
      <c r="K41" s="1">
        <v>45101</v>
      </c>
      <c r="L41">
        <v>10</v>
      </c>
      <c r="M41">
        <v>262</v>
      </c>
      <c r="N41">
        <v>26.2</v>
      </c>
      <c r="O41">
        <v>0.88500000000000001</v>
      </c>
      <c r="Q41" t="str">
        <f t="shared" si="1"/>
        <v>Missing</v>
      </c>
      <c r="R41" t="s">
        <v>414</v>
      </c>
    </row>
    <row r="42" spans="1:18" x14ac:dyDescent="0.45">
      <c r="A42" t="s">
        <v>241</v>
      </c>
      <c r="B42" t="str">
        <f t="shared" si="0"/>
        <v>2023 Conaway Ranch NE p1</v>
      </c>
      <c r="C42" t="s">
        <v>242</v>
      </c>
      <c r="E42" s="2" t="s">
        <v>46</v>
      </c>
      <c r="F42" s="1">
        <v>45088</v>
      </c>
      <c r="G42" s="1">
        <v>45078</v>
      </c>
      <c r="H42">
        <v>10</v>
      </c>
      <c r="I42" s="3">
        <v>163</v>
      </c>
      <c r="J42">
        <v>16.3</v>
      </c>
      <c r="K42" s="1">
        <v>45099</v>
      </c>
      <c r="L42">
        <v>10</v>
      </c>
      <c r="M42">
        <v>88</v>
      </c>
      <c r="N42">
        <v>8.8000000000000007</v>
      </c>
      <c r="O42">
        <v>0.54</v>
      </c>
      <c r="Q42" t="str">
        <f t="shared" si="1"/>
        <v/>
      </c>
      <c r="R42" t="s">
        <v>244</v>
      </c>
    </row>
    <row r="43" spans="1:18" x14ac:dyDescent="0.45">
      <c r="A43" t="s">
        <v>243</v>
      </c>
      <c r="B43" t="str">
        <f t="shared" si="0"/>
        <v>2023 Conaway Ranch North 1 p1</v>
      </c>
      <c r="C43" t="s">
        <v>244</v>
      </c>
      <c r="E43" t="s">
        <v>19</v>
      </c>
      <c r="F43" s="1">
        <v>45095</v>
      </c>
      <c r="G43" s="1">
        <v>45085</v>
      </c>
      <c r="H43">
        <v>10</v>
      </c>
      <c r="I43" s="3">
        <v>325</v>
      </c>
      <c r="J43">
        <v>32.5</v>
      </c>
      <c r="K43" s="1">
        <v>45106</v>
      </c>
      <c r="L43">
        <v>10</v>
      </c>
      <c r="M43">
        <v>319</v>
      </c>
      <c r="N43">
        <v>31.9</v>
      </c>
      <c r="O43">
        <v>0.98199999999999998</v>
      </c>
      <c r="Q43" t="str">
        <f t="shared" si="1"/>
        <v/>
      </c>
      <c r="R43" t="s">
        <v>246</v>
      </c>
    </row>
    <row r="44" spans="1:18" x14ac:dyDescent="0.45">
      <c r="A44" t="s">
        <v>245</v>
      </c>
      <c r="B44" t="str">
        <f t="shared" si="0"/>
        <v>2023 Conaway Ranch North 2 p1</v>
      </c>
      <c r="C44" t="s">
        <v>246</v>
      </c>
      <c r="E44" t="s">
        <v>19</v>
      </c>
      <c r="F44" s="1">
        <v>45105</v>
      </c>
      <c r="G44" s="1">
        <v>45095</v>
      </c>
      <c r="H44">
        <v>10</v>
      </c>
      <c r="I44" s="3">
        <v>295</v>
      </c>
      <c r="J44">
        <v>29.5</v>
      </c>
      <c r="K44" s="1">
        <v>45116</v>
      </c>
      <c r="L44">
        <v>10</v>
      </c>
      <c r="M44">
        <v>172</v>
      </c>
      <c r="N44">
        <v>17.2</v>
      </c>
      <c r="O44">
        <v>0.58299999999999996</v>
      </c>
      <c r="Q44" t="str">
        <f t="shared" si="1"/>
        <v>Missing</v>
      </c>
      <c r="R44" t="s">
        <v>410</v>
      </c>
    </row>
    <row r="45" spans="1:18" x14ac:dyDescent="0.45">
      <c r="A45" t="s">
        <v>255</v>
      </c>
      <c r="B45" t="str">
        <f t="shared" si="0"/>
        <v>2023 Hale Road p1</v>
      </c>
      <c r="C45" t="s">
        <v>256</v>
      </c>
      <c r="E45" t="s">
        <v>19</v>
      </c>
      <c r="F45" s="1">
        <v>45083</v>
      </c>
      <c r="G45" s="1">
        <v>45073</v>
      </c>
      <c r="H45">
        <v>10</v>
      </c>
      <c r="I45" s="3">
        <v>462</v>
      </c>
      <c r="J45">
        <v>46.2</v>
      </c>
      <c r="K45" s="1">
        <v>45094</v>
      </c>
      <c r="L45">
        <v>10</v>
      </c>
      <c r="M45">
        <v>320</v>
      </c>
      <c r="N45">
        <v>32</v>
      </c>
      <c r="O45">
        <v>0.69299999999999995</v>
      </c>
      <c r="Q45" t="str">
        <f t="shared" si="1"/>
        <v>Missing</v>
      </c>
      <c r="R45" t="s">
        <v>248</v>
      </c>
    </row>
    <row r="46" spans="1:18" x14ac:dyDescent="0.45">
      <c r="A46" t="s">
        <v>262</v>
      </c>
      <c r="B46" t="str">
        <f t="shared" si="0"/>
        <v>2023 Kentucky Lateral p1</v>
      </c>
      <c r="C46" t="s">
        <v>263</v>
      </c>
      <c r="E46" t="s">
        <v>19</v>
      </c>
      <c r="F46" s="1">
        <v>45042</v>
      </c>
      <c r="G46" s="1">
        <v>45032</v>
      </c>
      <c r="H46">
        <v>10</v>
      </c>
      <c r="I46" s="3">
        <v>179</v>
      </c>
      <c r="J46">
        <v>17.899999999999999</v>
      </c>
      <c r="K46" s="1">
        <v>45053</v>
      </c>
      <c r="L46">
        <v>10</v>
      </c>
      <c r="M46">
        <v>120</v>
      </c>
      <c r="N46">
        <v>12</v>
      </c>
      <c r="O46">
        <v>0.67</v>
      </c>
      <c r="Q46" t="str">
        <f t="shared" si="1"/>
        <v/>
      </c>
      <c r="R46" t="s">
        <v>256</v>
      </c>
    </row>
    <row r="47" spans="1:18" x14ac:dyDescent="0.45">
      <c r="A47" t="s">
        <v>266</v>
      </c>
      <c r="B47" t="str">
        <f t="shared" si="0"/>
        <v>2023 Kern - HQ2 p1</v>
      </c>
      <c r="C47" t="s">
        <v>267</v>
      </c>
      <c r="E47" t="s">
        <v>19</v>
      </c>
      <c r="F47" s="1">
        <v>45085</v>
      </c>
      <c r="G47" s="1">
        <v>45075</v>
      </c>
      <c r="H47">
        <v>10</v>
      </c>
      <c r="I47" s="3">
        <v>127</v>
      </c>
      <c r="J47">
        <v>12.7</v>
      </c>
      <c r="K47" s="1">
        <v>45096</v>
      </c>
      <c r="L47">
        <v>10</v>
      </c>
      <c r="M47">
        <v>243</v>
      </c>
      <c r="N47">
        <v>24.3</v>
      </c>
      <c r="O47">
        <v>1.913</v>
      </c>
      <c r="Q47" t="str">
        <f t="shared" si="1"/>
        <v/>
      </c>
      <c r="R47" t="s">
        <v>267</v>
      </c>
    </row>
    <row r="48" spans="1:18" x14ac:dyDescent="0.45">
      <c r="A48" t="s">
        <v>269</v>
      </c>
      <c r="B48" t="str">
        <f t="shared" si="0"/>
        <v>2023 Laguna Fry Confluence - 45 Sump p1</v>
      </c>
      <c r="C48" t="s">
        <v>270</v>
      </c>
      <c r="E48" t="s">
        <v>19</v>
      </c>
      <c r="F48" s="1">
        <v>45057</v>
      </c>
      <c r="G48" s="1">
        <v>45047</v>
      </c>
      <c r="H48">
        <v>10</v>
      </c>
      <c r="I48" s="3">
        <v>281</v>
      </c>
      <c r="J48">
        <v>28.1</v>
      </c>
      <c r="K48" s="1">
        <v>45068</v>
      </c>
      <c r="L48">
        <v>10</v>
      </c>
      <c r="M48">
        <v>201</v>
      </c>
      <c r="N48">
        <v>20.100000000000001</v>
      </c>
      <c r="O48">
        <v>0.71499999999999997</v>
      </c>
      <c r="Q48" t="str">
        <f t="shared" si="1"/>
        <v>Missing</v>
      </c>
      <c r="R48" t="s">
        <v>268</v>
      </c>
    </row>
    <row r="49" spans="1:18" x14ac:dyDescent="0.45">
      <c r="A49" t="s">
        <v>271</v>
      </c>
      <c r="B49" t="str">
        <f t="shared" si="0"/>
        <v>2023 Laguna Fry Confluence - Site 1 p1</v>
      </c>
      <c r="C49" t="s">
        <v>272</v>
      </c>
      <c r="E49" t="s">
        <v>19</v>
      </c>
      <c r="F49" s="1">
        <v>45062</v>
      </c>
      <c r="G49" s="1">
        <v>45055</v>
      </c>
      <c r="H49">
        <v>7</v>
      </c>
      <c r="I49" s="3">
        <v>214</v>
      </c>
      <c r="J49">
        <v>30.571000000000002</v>
      </c>
      <c r="K49" s="1">
        <v>45073</v>
      </c>
      <c r="L49">
        <v>10</v>
      </c>
      <c r="M49">
        <v>208</v>
      </c>
      <c r="N49">
        <v>20.8</v>
      </c>
      <c r="O49">
        <v>0.68</v>
      </c>
      <c r="Q49" t="str">
        <f t="shared" si="1"/>
        <v/>
      </c>
      <c r="R49" t="s">
        <v>413</v>
      </c>
    </row>
    <row r="50" spans="1:18" x14ac:dyDescent="0.45">
      <c r="A50" t="s">
        <v>273</v>
      </c>
      <c r="B50" t="str">
        <f t="shared" si="0"/>
        <v>2023 Los Vaqueros - Walnut Trail Marsh p1</v>
      </c>
      <c r="C50" t="s">
        <v>274</v>
      </c>
      <c r="E50" s="2" t="s">
        <v>17</v>
      </c>
      <c r="F50" s="1">
        <v>45042</v>
      </c>
      <c r="G50" s="1">
        <v>45032</v>
      </c>
      <c r="H50">
        <v>10</v>
      </c>
      <c r="I50" s="3">
        <v>58</v>
      </c>
      <c r="J50">
        <v>5.8</v>
      </c>
      <c r="K50" s="1">
        <v>45053</v>
      </c>
      <c r="L50">
        <v>10</v>
      </c>
      <c r="M50">
        <v>0</v>
      </c>
      <c r="N50">
        <v>0</v>
      </c>
      <c r="O50">
        <v>0</v>
      </c>
      <c r="Q50" t="str">
        <f t="shared" si="1"/>
        <v/>
      </c>
      <c r="R50" t="s">
        <v>412</v>
      </c>
    </row>
    <row r="51" spans="1:18" x14ac:dyDescent="0.45">
      <c r="A51" t="s">
        <v>275</v>
      </c>
      <c r="B51" t="str">
        <f t="shared" si="0"/>
        <v>2023 Los Vaqueros Reservoir p1</v>
      </c>
      <c r="C51" t="s">
        <v>276</v>
      </c>
      <c r="E51" t="s">
        <v>19</v>
      </c>
      <c r="F51" s="1">
        <v>45044</v>
      </c>
      <c r="G51" s="1">
        <v>45034</v>
      </c>
      <c r="H51">
        <v>10</v>
      </c>
      <c r="I51" s="3">
        <v>238</v>
      </c>
      <c r="J51">
        <v>23.8</v>
      </c>
      <c r="K51" s="1">
        <v>45055</v>
      </c>
      <c r="L51">
        <v>10</v>
      </c>
      <c r="M51">
        <v>303</v>
      </c>
      <c r="N51">
        <v>30.3</v>
      </c>
      <c r="O51">
        <v>1.2729999999999999</v>
      </c>
      <c r="Q51" t="str">
        <f t="shared" si="1"/>
        <v/>
      </c>
      <c r="R51" t="s">
        <v>274</v>
      </c>
    </row>
    <row r="52" spans="1:18" x14ac:dyDescent="0.45">
      <c r="A52" t="s">
        <v>278</v>
      </c>
      <c r="B52" t="str">
        <f t="shared" si="0"/>
        <v>2023 Markham Ravine p1</v>
      </c>
      <c r="C52" t="s">
        <v>279</v>
      </c>
      <c r="E52" s="2" t="s">
        <v>46</v>
      </c>
      <c r="F52" s="1">
        <v>45077</v>
      </c>
      <c r="G52" s="1">
        <v>45067</v>
      </c>
      <c r="H52">
        <v>10</v>
      </c>
      <c r="I52" s="3">
        <v>89</v>
      </c>
      <c r="J52">
        <v>8.9</v>
      </c>
      <c r="K52" s="1">
        <v>45088</v>
      </c>
      <c r="L52">
        <v>10</v>
      </c>
      <c r="M52">
        <v>26</v>
      </c>
      <c r="N52">
        <v>2.6</v>
      </c>
      <c r="O52">
        <v>0.29199999999999998</v>
      </c>
      <c r="Q52" t="str">
        <f t="shared" si="1"/>
        <v/>
      </c>
      <c r="R52" t="s">
        <v>279</v>
      </c>
    </row>
    <row r="53" spans="1:18" x14ac:dyDescent="0.45">
      <c r="A53" t="s">
        <v>280</v>
      </c>
      <c r="B53" t="str">
        <f t="shared" si="0"/>
        <v>2023 Merced NWR - Cottonwood p2</v>
      </c>
      <c r="C53" t="s">
        <v>284</v>
      </c>
      <c r="E53" s="2" t="s">
        <v>46</v>
      </c>
      <c r="F53" s="1">
        <v>45071</v>
      </c>
      <c r="G53" s="1">
        <v>45061</v>
      </c>
      <c r="H53">
        <v>10</v>
      </c>
      <c r="I53" s="3">
        <v>58</v>
      </c>
      <c r="J53">
        <v>5.8</v>
      </c>
      <c r="K53" s="1">
        <v>45082</v>
      </c>
      <c r="L53">
        <v>10</v>
      </c>
      <c r="M53">
        <v>0</v>
      </c>
      <c r="N53">
        <v>0</v>
      </c>
      <c r="O53">
        <v>0</v>
      </c>
      <c r="Q53" t="str">
        <f t="shared" si="1"/>
        <v/>
      </c>
      <c r="R53" t="s">
        <v>284</v>
      </c>
    </row>
    <row r="54" spans="1:18" x14ac:dyDescent="0.45">
      <c r="A54" t="s">
        <v>285</v>
      </c>
      <c r="B54" t="str">
        <f t="shared" si="0"/>
        <v>2023 Merced NWR Deadman Wetland Ditch p1</v>
      </c>
      <c r="C54" t="s">
        <v>286</v>
      </c>
      <c r="E54" s="2" t="s">
        <v>17</v>
      </c>
      <c r="F54" s="1">
        <v>45076</v>
      </c>
      <c r="G54" s="1">
        <v>45069</v>
      </c>
      <c r="H54">
        <v>7</v>
      </c>
      <c r="I54" s="3">
        <v>73</v>
      </c>
      <c r="J54">
        <v>10.429</v>
      </c>
      <c r="K54" s="1">
        <v>45086</v>
      </c>
      <c r="L54">
        <v>9</v>
      </c>
      <c r="M54">
        <v>6</v>
      </c>
      <c r="N54">
        <v>0.66700000000000004</v>
      </c>
      <c r="O54">
        <v>6.4000000000000001E-2</v>
      </c>
      <c r="Q54" t="str">
        <f t="shared" si="1"/>
        <v/>
      </c>
      <c r="R54" t="s">
        <v>286</v>
      </c>
    </row>
    <row r="55" spans="1:18" x14ac:dyDescent="0.45">
      <c r="A55" t="s">
        <v>289</v>
      </c>
      <c r="B55" t="str">
        <f t="shared" si="0"/>
        <v>2023 OR Dizney Rd p1</v>
      </c>
      <c r="C55" t="s">
        <v>290</v>
      </c>
      <c r="E55" s="2" t="s">
        <v>46</v>
      </c>
      <c r="F55" s="1">
        <v>45065</v>
      </c>
      <c r="G55" s="1">
        <v>45055</v>
      </c>
      <c r="H55">
        <v>10</v>
      </c>
      <c r="I55" s="3">
        <v>145</v>
      </c>
      <c r="J55">
        <v>14.5</v>
      </c>
      <c r="K55" s="1">
        <v>45076</v>
      </c>
      <c r="L55">
        <v>10</v>
      </c>
      <c r="M55">
        <v>18</v>
      </c>
      <c r="N55">
        <v>1.8</v>
      </c>
      <c r="O55">
        <v>0.124</v>
      </c>
      <c r="Q55" t="str">
        <f t="shared" si="1"/>
        <v/>
      </c>
      <c r="R55" t="s">
        <v>290</v>
      </c>
    </row>
    <row r="56" spans="1:18" x14ac:dyDescent="0.45">
      <c r="A56" t="s">
        <v>291</v>
      </c>
      <c r="B56" t="str">
        <f t="shared" si="0"/>
        <v>2023 OR Eureka Rd p1</v>
      </c>
      <c r="C56" t="s">
        <v>292</v>
      </c>
      <c r="E56" t="s">
        <v>19</v>
      </c>
      <c r="F56" s="1">
        <v>45065</v>
      </c>
      <c r="G56" s="1">
        <v>45055</v>
      </c>
      <c r="H56">
        <v>10</v>
      </c>
      <c r="I56" s="3">
        <v>53</v>
      </c>
      <c r="J56">
        <v>5.3</v>
      </c>
      <c r="K56" s="1">
        <v>45076</v>
      </c>
      <c r="L56">
        <v>10</v>
      </c>
      <c r="M56">
        <v>55</v>
      </c>
      <c r="N56">
        <v>5.5</v>
      </c>
      <c r="O56">
        <v>1.038</v>
      </c>
      <c r="Q56" t="str">
        <f t="shared" si="1"/>
        <v/>
      </c>
      <c r="R56" t="s">
        <v>294</v>
      </c>
    </row>
    <row r="57" spans="1:18" x14ac:dyDescent="0.45">
      <c r="A57" t="s">
        <v>293</v>
      </c>
      <c r="B57" t="str">
        <f t="shared" si="0"/>
        <v>2023 OR Prineville North p1</v>
      </c>
      <c r="C57" t="s">
        <v>294</v>
      </c>
      <c r="E57" t="s">
        <v>19</v>
      </c>
      <c r="F57" s="1">
        <v>45061</v>
      </c>
      <c r="G57" s="1">
        <v>45051</v>
      </c>
      <c r="H57">
        <v>10</v>
      </c>
      <c r="I57" s="3">
        <v>126</v>
      </c>
      <c r="J57">
        <v>12.6</v>
      </c>
      <c r="K57" s="1">
        <v>45072</v>
      </c>
      <c r="L57">
        <v>10</v>
      </c>
      <c r="M57">
        <v>313</v>
      </c>
      <c r="N57">
        <v>31.3</v>
      </c>
      <c r="O57">
        <v>2.484</v>
      </c>
      <c r="Q57" t="str">
        <f t="shared" si="1"/>
        <v/>
      </c>
      <c r="R57" t="s">
        <v>295</v>
      </c>
    </row>
    <row r="58" spans="1:18" x14ac:dyDescent="0.45">
      <c r="A58" t="s">
        <v>293</v>
      </c>
      <c r="B58" t="str">
        <f t="shared" si="0"/>
        <v>2023 OR Prineville North p2</v>
      </c>
      <c r="C58" t="s">
        <v>295</v>
      </c>
      <c r="E58" t="s">
        <v>19</v>
      </c>
      <c r="F58" s="1">
        <v>45097</v>
      </c>
      <c r="G58" s="1">
        <v>45087</v>
      </c>
      <c r="H58">
        <v>10</v>
      </c>
      <c r="I58" s="3">
        <v>71</v>
      </c>
      <c r="J58">
        <v>7.1</v>
      </c>
      <c r="K58" s="1">
        <v>45108</v>
      </c>
      <c r="L58">
        <v>10</v>
      </c>
      <c r="M58">
        <v>93</v>
      </c>
      <c r="N58">
        <v>9.3000000000000007</v>
      </c>
      <c r="O58">
        <v>1.31</v>
      </c>
      <c r="Q58" t="str">
        <f t="shared" si="1"/>
        <v/>
      </c>
      <c r="R58" t="s">
        <v>303</v>
      </c>
    </row>
    <row r="59" spans="1:18" x14ac:dyDescent="0.45">
      <c r="A59" t="s">
        <v>302</v>
      </c>
      <c r="B59" t="str">
        <f t="shared" si="0"/>
        <v>2023 Plumas Arboga 2 p1</v>
      </c>
      <c r="C59" t="s">
        <v>303</v>
      </c>
      <c r="E59" t="s">
        <v>19</v>
      </c>
      <c r="F59" s="1">
        <v>45084</v>
      </c>
      <c r="G59" s="1">
        <v>45074</v>
      </c>
      <c r="H59">
        <v>10</v>
      </c>
      <c r="I59" s="3">
        <v>401</v>
      </c>
      <c r="J59">
        <v>40.1</v>
      </c>
      <c r="K59" s="1">
        <v>45095</v>
      </c>
      <c r="L59">
        <v>10</v>
      </c>
      <c r="M59">
        <v>348</v>
      </c>
      <c r="N59">
        <v>34.799999999999997</v>
      </c>
      <c r="O59">
        <v>0.86799999999999999</v>
      </c>
      <c r="Q59" t="str">
        <f t="shared" si="1"/>
        <v/>
      </c>
      <c r="R59" t="s">
        <v>409</v>
      </c>
    </row>
    <row r="60" spans="1:18" x14ac:dyDescent="0.45">
      <c r="A60" t="s">
        <v>304</v>
      </c>
      <c r="B60" t="str">
        <f t="shared" si="0"/>
        <v>2023 Plumas Arboga 8 - North Regional Pond p1</v>
      </c>
      <c r="C60" t="s">
        <v>305</v>
      </c>
      <c r="E60" s="2" t="s">
        <v>46</v>
      </c>
      <c r="F60" s="1">
        <v>45052</v>
      </c>
      <c r="G60" s="1">
        <v>45042</v>
      </c>
      <c r="H60">
        <v>10</v>
      </c>
      <c r="I60" s="3">
        <v>254</v>
      </c>
      <c r="J60">
        <v>25.4</v>
      </c>
      <c r="K60" s="1">
        <v>45063</v>
      </c>
      <c r="L60">
        <v>10</v>
      </c>
      <c r="M60">
        <v>96</v>
      </c>
      <c r="N60">
        <v>9.6</v>
      </c>
      <c r="O60">
        <v>0.378</v>
      </c>
      <c r="Q60" t="str">
        <f t="shared" si="1"/>
        <v/>
      </c>
      <c r="R60" t="s">
        <v>417</v>
      </c>
    </row>
    <row r="61" spans="1:18" x14ac:dyDescent="0.45">
      <c r="A61" t="s">
        <v>304</v>
      </c>
      <c r="B61" t="str">
        <f t="shared" si="0"/>
        <v>2023 Plumas Arboga 8 - North Regional Pond p2</v>
      </c>
      <c r="C61" t="s">
        <v>306</v>
      </c>
      <c r="E61" t="s">
        <v>19</v>
      </c>
      <c r="F61" s="1">
        <v>45092</v>
      </c>
      <c r="G61" s="1">
        <v>45082</v>
      </c>
      <c r="H61">
        <v>10</v>
      </c>
      <c r="I61" s="3">
        <v>254</v>
      </c>
      <c r="J61">
        <v>25.4</v>
      </c>
      <c r="K61" s="1">
        <v>45103</v>
      </c>
      <c r="L61">
        <v>10</v>
      </c>
      <c r="M61">
        <v>320</v>
      </c>
      <c r="N61">
        <v>32</v>
      </c>
      <c r="O61">
        <v>1.26</v>
      </c>
      <c r="Q61" t="str">
        <f t="shared" si="1"/>
        <v/>
      </c>
      <c r="R61" t="s">
        <v>335</v>
      </c>
    </row>
    <row r="62" spans="1:18" x14ac:dyDescent="0.45">
      <c r="A62" t="s">
        <v>312</v>
      </c>
      <c r="B62" t="str">
        <f t="shared" si="0"/>
        <v>2023 San Luis Bear Creek p1</v>
      </c>
      <c r="C62" t="s">
        <v>313</v>
      </c>
      <c r="E62" s="2" t="s">
        <v>46</v>
      </c>
      <c r="F62" s="1">
        <v>45109</v>
      </c>
      <c r="G62" s="1">
        <v>45099</v>
      </c>
      <c r="H62">
        <v>10</v>
      </c>
      <c r="I62" s="3">
        <v>335</v>
      </c>
      <c r="J62">
        <v>33.5</v>
      </c>
      <c r="K62" s="1">
        <v>45120</v>
      </c>
      <c r="L62">
        <v>10</v>
      </c>
      <c r="M62">
        <v>107</v>
      </c>
      <c r="N62">
        <v>10.7</v>
      </c>
      <c r="O62">
        <v>0.31900000000000001</v>
      </c>
      <c r="Q62" t="str">
        <f t="shared" si="1"/>
        <v/>
      </c>
      <c r="R62" t="s">
        <v>315</v>
      </c>
    </row>
    <row r="63" spans="1:18" x14ac:dyDescent="0.45">
      <c r="A63" t="s">
        <v>314</v>
      </c>
      <c r="B63" t="str">
        <f t="shared" si="0"/>
        <v>2023 San Luis NWR - West Bank Creek p1</v>
      </c>
      <c r="C63" t="s">
        <v>315</v>
      </c>
      <c r="E63" s="2" t="s">
        <v>46</v>
      </c>
      <c r="F63" s="1">
        <v>45090</v>
      </c>
      <c r="G63" s="1">
        <v>45080</v>
      </c>
      <c r="H63">
        <v>10</v>
      </c>
      <c r="I63" s="3">
        <v>103</v>
      </c>
      <c r="J63">
        <v>10.3</v>
      </c>
      <c r="K63" s="1">
        <v>45101</v>
      </c>
      <c r="L63">
        <v>10</v>
      </c>
      <c r="M63">
        <v>17</v>
      </c>
      <c r="N63">
        <v>1.7</v>
      </c>
      <c r="O63">
        <v>0.16500000000000001</v>
      </c>
      <c r="Q63" t="str">
        <f t="shared" si="1"/>
        <v/>
      </c>
      <c r="R63" t="s">
        <v>313</v>
      </c>
    </row>
    <row r="64" spans="1:18" x14ac:dyDescent="0.45">
      <c r="A64" t="s">
        <v>316</v>
      </c>
      <c r="B64" t="str">
        <f t="shared" si="0"/>
        <v>2023 Sedgwick p1</v>
      </c>
      <c r="C64" t="s">
        <v>317</v>
      </c>
      <c r="E64" t="s">
        <v>19</v>
      </c>
      <c r="F64" s="1">
        <v>45031</v>
      </c>
      <c r="G64" s="1">
        <v>45021</v>
      </c>
      <c r="H64">
        <v>10</v>
      </c>
      <c r="I64" s="3">
        <v>52</v>
      </c>
      <c r="J64">
        <v>5.2</v>
      </c>
      <c r="K64" s="1">
        <v>45042</v>
      </c>
      <c r="L64">
        <v>10</v>
      </c>
      <c r="M64">
        <v>120</v>
      </c>
      <c r="N64">
        <v>12</v>
      </c>
      <c r="O64">
        <v>2.3079999999999998</v>
      </c>
      <c r="Q64" t="str">
        <f t="shared" si="1"/>
        <v/>
      </c>
      <c r="R64" t="s">
        <v>327</v>
      </c>
    </row>
    <row r="65" spans="1:18" x14ac:dyDescent="0.45">
      <c r="A65" t="s">
        <v>326</v>
      </c>
      <c r="B65" t="str">
        <f t="shared" si="0"/>
        <v>2023 WA McCain Wetlands p1</v>
      </c>
      <c r="C65" t="s">
        <v>327</v>
      </c>
      <c r="E65" s="2" t="s">
        <v>46</v>
      </c>
      <c r="F65" s="1">
        <v>45061</v>
      </c>
      <c r="G65" s="1">
        <v>45051</v>
      </c>
      <c r="H65">
        <v>10</v>
      </c>
      <c r="I65" s="3">
        <v>72</v>
      </c>
      <c r="J65">
        <v>7.2</v>
      </c>
      <c r="K65" s="1">
        <v>45072</v>
      </c>
      <c r="L65">
        <v>10</v>
      </c>
      <c r="M65">
        <v>24</v>
      </c>
      <c r="N65">
        <v>2.4</v>
      </c>
      <c r="O65">
        <v>0.33300000000000002</v>
      </c>
      <c r="Q65" t="str">
        <f t="shared" si="1"/>
        <v>Missing</v>
      </c>
      <c r="R65" t="s">
        <v>419</v>
      </c>
    </row>
    <row r="66" spans="1:18" x14ac:dyDescent="0.45">
      <c r="A66" t="s">
        <v>328</v>
      </c>
      <c r="B66" t="str">
        <f t="shared" si="0"/>
        <v>2023 Weagell Property 1 p1</v>
      </c>
      <c r="C66" t="s">
        <v>329</v>
      </c>
      <c r="E66" t="s">
        <v>19</v>
      </c>
      <c r="F66" s="1">
        <v>45049</v>
      </c>
      <c r="G66" s="1">
        <v>45039</v>
      </c>
      <c r="H66">
        <v>10</v>
      </c>
      <c r="I66" s="3">
        <v>253</v>
      </c>
      <c r="J66">
        <v>25.3</v>
      </c>
      <c r="K66" s="1">
        <v>45060</v>
      </c>
      <c r="L66">
        <v>10</v>
      </c>
      <c r="M66">
        <v>65</v>
      </c>
      <c r="N66">
        <v>6.5</v>
      </c>
      <c r="O66">
        <v>0.25700000000000001</v>
      </c>
      <c r="Q66" t="str">
        <f t="shared" si="1"/>
        <v>Missing</v>
      </c>
      <c r="R66" t="s">
        <v>421</v>
      </c>
    </row>
    <row r="67" spans="1:18" x14ac:dyDescent="0.45">
      <c r="A67" t="s">
        <v>333</v>
      </c>
      <c r="B67" t="str">
        <f t="shared" ref="B67:B73" si="2">CONCATENATE(A67,RIGHT(C67,3))</f>
        <v>2023 West of Davis p2</v>
      </c>
      <c r="C67" t="s">
        <v>335</v>
      </c>
      <c r="E67" t="s">
        <v>19</v>
      </c>
      <c r="F67" s="1">
        <v>45068</v>
      </c>
      <c r="G67" s="1">
        <v>45058</v>
      </c>
      <c r="H67">
        <v>10</v>
      </c>
      <c r="I67" s="3">
        <v>59</v>
      </c>
      <c r="J67">
        <v>5.9</v>
      </c>
      <c r="K67" s="1">
        <v>45079</v>
      </c>
      <c r="L67">
        <v>10</v>
      </c>
      <c r="M67">
        <v>122</v>
      </c>
      <c r="N67">
        <v>12.2</v>
      </c>
      <c r="O67">
        <v>2.0680000000000001</v>
      </c>
      <c r="Q67" t="str">
        <f t="shared" ref="Q67:Q70" si="3">IF(ISNA(VLOOKUP(R67,B:B,1,FALSE)),(IF(ISNA(VLOOKUP(R67,C:C,1,FALSE)),"Missing","")), "")</f>
        <v/>
      </c>
      <c r="R67" t="s">
        <v>353</v>
      </c>
    </row>
    <row r="68" spans="1:18" x14ac:dyDescent="0.45">
      <c r="A68" t="s">
        <v>338</v>
      </c>
      <c r="B68" t="str">
        <f t="shared" si="2"/>
        <v>2023 Wind Wolves Preserve Site 2 p1</v>
      </c>
      <c r="C68" t="s">
        <v>339</v>
      </c>
      <c r="E68" t="s">
        <v>19</v>
      </c>
      <c r="F68" s="1">
        <v>45047</v>
      </c>
      <c r="G68" s="1">
        <v>45037</v>
      </c>
      <c r="H68">
        <v>10</v>
      </c>
      <c r="I68" s="3">
        <v>74</v>
      </c>
      <c r="J68">
        <v>7.4</v>
      </c>
      <c r="K68" s="1">
        <v>45058</v>
      </c>
      <c r="L68">
        <v>10</v>
      </c>
      <c r="M68">
        <v>22</v>
      </c>
      <c r="N68">
        <v>2.2000000000000002</v>
      </c>
      <c r="O68">
        <v>0.29699999999999999</v>
      </c>
      <c r="Q68" t="str">
        <f t="shared" si="3"/>
        <v/>
      </c>
      <c r="R68" t="s">
        <v>362</v>
      </c>
    </row>
    <row r="69" spans="1:18" x14ac:dyDescent="0.45">
      <c r="A69" t="s">
        <v>349</v>
      </c>
      <c r="B69" t="str">
        <f t="shared" si="2"/>
        <v>2024 Baja Rancho Cinega Redonda 2 p1</v>
      </c>
      <c r="C69" t="s">
        <v>350</v>
      </c>
      <c r="E69" t="s">
        <v>19</v>
      </c>
      <c r="F69" s="1">
        <v>45411</v>
      </c>
      <c r="G69" s="1">
        <v>45405</v>
      </c>
      <c r="H69">
        <v>6</v>
      </c>
      <c r="I69" s="3">
        <v>100</v>
      </c>
      <c r="J69">
        <v>16.667000000000002</v>
      </c>
      <c r="K69" s="1">
        <v>45422</v>
      </c>
      <c r="L69">
        <v>10</v>
      </c>
      <c r="M69">
        <v>283</v>
      </c>
      <c r="N69">
        <v>28.3</v>
      </c>
      <c r="O69">
        <v>1.698</v>
      </c>
      <c r="Q69" t="str">
        <f t="shared" si="3"/>
        <v/>
      </c>
      <c r="R69" t="s">
        <v>415</v>
      </c>
    </row>
    <row r="70" spans="1:18" x14ac:dyDescent="0.45">
      <c r="A70" t="s">
        <v>349</v>
      </c>
      <c r="B70" t="str">
        <f t="shared" si="2"/>
        <v>2024 Baja Rancho Cinega Redonda 2 p2</v>
      </c>
      <c r="C70" t="s">
        <v>351</v>
      </c>
      <c r="E70" t="s">
        <v>19</v>
      </c>
      <c r="F70" s="1">
        <v>45447</v>
      </c>
      <c r="G70" s="1">
        <v>45437</v>
      </c>
      <c r="H70">
        <v>10</v>
      </c>
      <c r="I70" s="3">
        <v>99</v>
      </c>
      <c r="J70">
        <v>9.9</v>
      </c>
      <c r="K70" s="1">
        <v>45458</v>
      </c>
      <c r="L70">
        <v>10</v>
      </c>
      <c r="M70">
        <v>318</v>
      </c>
      <c r="N70">
        <v>31.8</v>
      </c>
      <c r="O70">
        <v>3.2120000000000002</v>
      </c>
      <c r="Q70" t="str">
        <f t="shared" si="3"/>
        <v>Missing</v>
      </c>
      <c r="R70" t="s">
        <v>394</v>
      </c>
    </row>
    <row r="71" spans="1:18" x14ac:dyDescent="0.45">
      <c r="A71" t="s">
        <v>352</v>
      </c>
      <c r="B71" t="str">
        <f t="shared" si="2"/>
        <v>2024 Colusa NWR T27.1 p1</v>
      </c>
      <c r="C71" t="s">
        <v>353</v>
      </c>
      <c r="E71" s="2" t="s">
        <v>46</v>
      </c>
      <c r="F71" s="1">
        <v>45454</v>
      </c>
      <c r="G71" s="1">
        <v>45444</v>
      </c>
      <c r="H71">
        <v>10</v>
      </c>
      <c r="I71" s="3">
        <v>230</v>
      </c>
      <c r="J71">
        <v>23</v>
      </c>
      <c r="K71" s="1">
        <v>45465</v>
      </c>
      <c r="L71">
        <v>10</v>
      </c>
      <c r="M71">
        <v>26</v>
      </c>
      <c r="N71">
        <v>2.6</v>
      </c>
      <c r="O71">
        <v>0.113</v>
      </c>
    </row>
    <row r="72" spans="1:18" x14ac:dyDescent="0.45">
      <c r="A72" t="s">
        <v>360</v>
      </c>
      <c r="B72" t="str">
        <f t="shared" si="2"/>
        <v>2024 Los Vaqueros Reservoir p2</v>
      </c>
      <c r="C72" t="s">
        <v>362</v>
      </c>
      <c r="E72" t="s">
        <v>19</v>
      </c>
      <c r="F72" s="1">
        <v>45453</v>
      </c>
      <c r="G72" s="1">
        <v>45443</v>
      </c>
      <c r="H72">
        <v>10</v>
      </c>
      <c r="I72" s="3">
        <v>340</v>
      </c>
      <c r="J72">
        <v>34</v>
      </c>
      <c r="K72" s="1">
        <v>45464</v>
      </c>
      <c r="L72">
        <v>10</v>
      </c>
      <c r="M72">
        <v>192</v>
      </c>
      <c r="N72">
        <v>19.2</v>
      </c>
      <c r="O72">
        <v>0.56499999999999995</v>
      </c>
    </row>
    <row r="73" spans="1:18" x14ac:dyDescent="0.45">
      <c r="A73" t="s">
        <v>380</v>
      </c>
      <c r="B73" t="str">
        <f t="shared" si="2"/>
        <v>2024 Panoche Creek Preserve - Dollar Marsh East p1</v>
      </c>
      <c r="C73" t="s">
        <v>381</v>
      </c>
      <c r="E73" t="s">
        <v>19</v>
      </c>
      <c r="F73" s="1">
        <v>45411</v>
      </c>
      <c r="G73" s="1">
        <v>45401</v>
      </c>
      <c r="H73">
        <v>10</v>
      </c>
      <c r="I73" s="3">
        <v>277</v>
      </c>
      <c r="J73">
        <v>27.7</v>
      </c>
      <c r="K73" s="1">
        <v>45422</v>
      </c>
      <c r="L73">
        <v>10</v>
      </c>
      <c r="M73">
        <v>247</v>
      </c>
      <c r="N73">
        <v>24.7</v>
      </c>
      <c r="O73">
        <v>0.89200000000000002</v>
      </c>
    </row>
  </sheetData>
  <sortState xmlns:xlrd2="http://schemas.microsoft.com/office/spreadsheetml/2017/richdata2" ref="R2:R70">
    <sortCondition ref="R2:R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nestling-to-female-ratios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Schackwitz</cp:lastModifiedBy>
  <dcterms:created xsi:type="dcterms:W3CDTF">2026-01-05T01:56:42Z</dcterms:created>
  <dcterms:modified xsi:type="dcterms:W3CDTF">2026-01-05T02:11:10Z</dcterms:modified>
</cp:coreProperties>
</file>